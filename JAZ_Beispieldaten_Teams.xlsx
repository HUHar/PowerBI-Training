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trieb Innendienst" sheetId="1" state="visible" r:id="rId3"/>
    <sheet name="Service u. Support" sheetId="2" state="visible" r:id="rId4"/>
    <sheet name="Back Offi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<sst xmlns="http://schemas.openxmlformats.org/spreadsheetml/2006/main" count="552" uniqueCount="272">
  <si>
    <t xml:space="preserve">Pers.Nr.</t>
  </si>
  <si>
    <t xml:space="preserve">Name</t>
  </si>
  <si>
    <t xml:space="preserve">Funktion</t>
  </si>
  <si>
    <t xml:space="preserve">VzP</t>
  </si>
  <si>
    <t xml:space="preserve">JAZ Feb 2026</t>
  </si>
  <si>
    <t xml:space="preserve">VFK Feb 2026</t>
  </si>
  <si>
    <t xml:space="preserve">JAZ Mrz 2026</t>
  </si>
  <si>
    <t xml:space="preserve">VFK Mrz 2026</t>
  </si>
  <si>
    <t xml:space="preserve">JAZ(PP)</t>
  </si>
  <si>
    <t xml:space="preserve">JAZ Soll PP III</t>
  </si>
  <si>
    <t xml:space="preserve">JAZ geplant</t>
  </si>
  <si>
    <t xml:space="preserve">Delta zum Soll</t>
  </si>
  <si>
    <t xml:space="preserve">Prognose Ende PPIII</t>
  </si>
  <si>
    <t xml:space="preserve">Prognose inkl. VFK</t>
  </si>
  <si>
    <t xml:space="preserve">JAZ (Jahr)</t>
  </si>
  <si>
    <t xml:space="preserve">JAZ geplant bis Ende PPIII</t>
  </si>
  <si>
    <t xml:space="preserve">Zielerreichung %</t>
  </si>
  <si>
    <t xml:space="preserve">Frank, Erik</t>
  </si>
  <si>
    <t xml:space="preserve">Junior-SB</t>
  </si>
  <si>
    <t xml:space="preserve">Becker, Andreas</t>
  </si>
  <si>
    <t xml:space="preserve">Sachbearbeiter/in</t>
  </si>
  <si>
    <t xml:space="preserve">Albrecht, Tim</t>
  </si>
  <si>
    <t xml:space="preserve">Spezialist/in</t>
  </si>
  <si>
    <t xml:space="preserve">Frank, Thomas</t>
  </si>
  <si>
    <t xml:space="preserve">Neumann, Florian</t>
  </si>
  <si>
    <t xml:space="preserve">Key-Account-Support</t>
  </si>
  <si>
    <t xml:space="preserve">Beck, Andreas</t>
  </si>
  <si>
    <t xml:space="preserve">Braun, Michael</t>
  </si>
  <si>
    <t xml:space="preserve">Schulz, Nina</t>
  </si>
  <si>
    <t xml:space="preserve">Müller, Holger</t>
  </si>
  <si>
    <t xml:space="preserve">Albrecht, Felix</t>
  </si>
  <si>
    <t xml:space="preserve">Teamleiter/in</t>
  </si>
  <si>
    <t xml:space="preserve">Keller, Lea</t>
  </si>
  <si>
    <t xml:space="preserve">Albrecht, Petra</t>
  </si>
  <si>
    <t xml:space="preserve">Mayer, Sandra</t>
  </si>
  <si>
    <t xml:space="preserve">Hoffmann, Lena</t>
  </si>
  <si>
    <t xml:space="preserve">Weber, Nora</t>
  </si>
  <si>
    <t xml:space="preserve">Zimmermann, Petra</t>
  </si>
  <si>
    <t xml:space="preserve">Fischer, Ines</t>
  </si>
  <si>
    <t xml:space="preserve">Beck, Melanie</t>
  </si>
  <si>
    <t xml:space="preserve">Weiß, Julia</t>
  </si>
  <si>
    <t xml:space="preserve">Fischer, Lisa</t>
  </si>
  <si>
    <t xml:space="preserve">Müller, Daniel</t>
  </si>
  <si>
    <t xml:space="preserve">Jung, Dirk</t>
  </si>
  <si>
    <t xml:space="preserve">Franke, Andreas</t>
  </si>
  <si>
    <t xml:space="preserve">Werner, Lena</t>
  </si>
  <si>
    <t xml:space="preserve">Jung, Lena</t>
  </si>
  <si>
    <t xml:space="preserve">Herrmann, Ralf</t>
  </si>
  <si>
    <t xml:space="preserve">Maier, Lisa</t>
  </si>
  <si>
    <t xml:space="preserve">Krüger, Tom</t>
  </si>
  <si>
    <t xml:space="preserve">Schwarz, Stefan</t>
  </si>
  <si>
    <t xml:space="preserve">Müller, Markus</t>
  </si>
  <si>
    <t xml:space="preserve">Möller, Niklas</t>
  </si>
  <si>
    <t xml:space="preserve">Müller, Niklas</t>
  </si>
  <si>
    <t xml:space="preserve">Fischer, Hannah</t>
  </si>
  <si>
    <t xml:space="preserve">Schuster, Mia</t>
  </si>
  <si>
    <t xml:space="preserve">Schuster, Moritz</t>
  </si>
  <si>
    <t xml:space="preserve">Köhler, Ines</t>
  </si>
  <si>
    <t xml:space="preserve">Werner, Ralf</t>
  </si>
  <si>
    <t xml:space="preserve">Lorenz, Max</t>
  </si>
  <si>
    <t xml:space="preserve">Walter, Katrin</t>
  </si>
  <si>
    <t xml:space="preserve">Kaiser, Sven</t>
  </si>
  <si>
    <t xml:space="preserve">Becker, Paul</t>
  </si>
  <si>
    <t xml:space="preserve">Fischer, Katrin</t>
  </si>
  <si>
    <t xml:space="preserve">Wolf, David</t>
  </si>
  <si>
    <t xml:space="preserve">Lehmann, Nora</t>
  </si>
  <si>
    <t xml:space="preserve">Lehmann, Holger</t>
  </si>
  <si>
    <t xml:space="preserve">Weber, Moritz</t>
  </si>
  <si>
    <t xml:space="preserve">Baumann, Stefan</t>
  </si>
  <si>
    <t xml:space="preserve">Schwarz, Sven</t>
  </si>
  <si>
    <t xml:space="preserve">Albrecht, David</t>
  </si>
  <si>
    <t xml:space="preserve">Maier, Emma</t>
  </si>
  <si>
    <t xml:space="preserve">Friedrich, Ines</t>
  </si>
  <si>
    <t xml:space="preserve">Beck, Anna</t>
  </si>
  <si>
    <t xml:space="preserve">Hoffmann, Claudia</t>
  </si>
  <si>
    <t xml:space="preserve">Fuchs, Sarah</t>
  </si>
  <si>
    <t xml:space="preserve">Hartmann, Felix</t>
  </si>
  <si>
    <t xml:space="preserve">Frank, Stefan</t>
  </si>
  <si>
    <t xml:space="preserve">Fuchs, Erik</t>
  </si>
  <si>
    <t xml:space="preserve">Krüger, Holger</t>
  </si>
  <si>
    <t xml:space="preserve">Kaiser, Christina</t>
  </si>
  <si>
    <t xml:space="preserve">Hahn, Lena</t>
  </si>
  <si>
    <t xml:space="preserve">König, Thomas</t>
  </si>
  <si>
    <t xml:space="preserve">Lorenz, Julia</t>
  </si>
  <si>
    <t xml:space="preserve">Lorenz, Jonas</t>
  </si>
  <si>
    <t xml:space="preserve">Huber, Tim</t>
  </si>
  <si>
    <t xml:space="preserve">Jung, Clara</t>
  </si>
  <si>
    <t xml:space="preserve">Walter, Sandra</t>
  </si>
  <si>
    <t xml:space="preserve">Berger, Lukas</t>
  </si>
  <si>
    <t xml:space="preserve">Albrecht, Sven</t>
  </si>
  <si>
    <t xml:space="preserve">Neumann, Verena</t>
  </si>
  <si>
    <t xml:space="preserve">Günther, Clara</t>
  </si>
  <si>
    <t xml:space="preserve">Neumann, Mia</t>
  </si>
  <si>
    <t xml:space="preserve">Vogel, Emma</t>
  </si>
  <si>
    <t xml:space="preserve">Scholz, Hannah</t>
  </si>
  <si>
    <t xml:space="preserve">Schmidt, Niklas</t>
  </si>
  <si>
    <t xml:space="preserve">Werner, Julia</t>
  </si>
  <si>
    <t xml:space="preserve">Baumann, Holger</t>
  </si>
  <si>
    <t xml:space="preserve">Frank, Florian</t>
  </si>
  <si>
    <t xml:space="preserve">Huber, Erik</t>
  </si>
  <si>
    <t xml:space="preserve">Huber, Stefan</t>
  </si>
  <si>
    <t xml:space="preserve">Weber, Holger</t>
  </si>
  <si>
    <t xml:space="preserve">Becker, Jan</t>
  </si>
  <si>
    <t xml:space="preserve">Müller, Jonas</t>
  </si>
  <si>
    <t xml:space="preserve">Gesamt / Ø</t>
  </si>
  <si>
    <t xml:space="preserve">Hinweise / Annahmen:</t>
  </si>
  <si>
    <t xml:space="preserve">Blaue Werte = Eingaben (frei änderbar). Schwarze Werte = Formeln.</t>
  </si>
  <si>
    <t xml:space="preserve">JAZ(PP)=JAZ Feb+JAZ Mrz | Delta=JAZ geplant−Soll | Prognose inkl. VFK=Prognose Ende−VFK Mrz (VFK mindert Kapazität).</t>
  </si>
  <si>
    <t xml:space="preserve">Zielerreichung %=JAZ geplant/Soll. Minderleister-Schwelle z. B. &lt; 95 %. Soll skaliert mit VzP (Basis 640h bei 1,0).</t>
  </si>
  <si>
    <t xml:space="preserve">Wagner, Anna</t>
  </si>
  <si>
    <t xml:space="preserve">Winkler, Markus</t>
  </si>
  <si>
    <t xml:space="preserve">2nd-Level-Support</t>
  </si>
  <si>
    <t xml:space="preserve">Wolf, Mia</t>
  </si>
  <si>
    <t xml:space="preserve">Berger, Michael</t>
  </si>
  <si>
    <t xml:space="preserve">Service-Agent/in</t>
  </si>
  <si>
    <t xml:space="preserve">Wolf, Holger</t>
  </si>
  <si>
    <t xml:space="preserve">Huber, Emma</t>
  </si>
  <si>
    <t xml:space="preserve">Hahn, Florian</t>
  </si>
  <si>
    <t xml:space="preserve">Beck, Jonas</t>
  </si>
  <si>
    <t xml:space="preserve">Fischer, Frank</t>
  </si>
  <si>
    <t xml:space="preserve">Wagner, Holger</t>
  </si>
  <si>
    <t xml:space="preserve">Weiß, Sandra</t>
  </si>
  <si>
    <t xml:space="preserve">Qualitätssicherung</t>
  </si>
  <si>
    <t xml:space="preserve">Kaiser, Felix</t>
  </si>
  <si>
    <t xml:space="preserve">Köhler, Claudia</t>
  </si>
  <si>
    <t xml:space="preserve">Kaiser, Nora</t>
  </si>
  <si>
    <t xml:space="preserve">Schuster, Emma</t>
  </si>
  <si>
    <t xml:space="preserve">Frank, Sven</t>
  </si>
  <si>
    <t xml:space="preserve">Lang, Sarah</t>
  </si>
  <si>
    <t xml:space="preserve">Günther, Birgit</t>
  </si>
  <si>
    <t xml:space="preserve">Fuchs, Nora</t>
  </si>
  <si>
    <t xml:space="preserve">Huber, Ralf</t>
  </si>
  <si>
    <t xml:space="preserve">Wolf, Tim</t>
  </si>
  <si>
    <t xml:space="preserve">Maier, Anna</t>
  </si>
  <si>
    <t xml:space="preserve">Hoffmann, Hannah</t>
  </si>
  <si>
    <t xml:space="preserve">Schuster, Thomas</t>
  </si>
  <si>
    <t xml:space="preserve">Lang, Laura</t>
  </si>
  <si>
    <t xml:space="preserve">Lange, Jan</t>
  </si>
  <si>
    <t xml:space="preserve">Fischer, Sophie</t>
  </si>
  <si>
    <t xml:space="preserve">Berger, Tim</t>
  </si>
  <si>
    <t xml:space="preserve">Wolf, Andreas</t>
  </si>
  <si>
    <t xml:space="preserve">Jung, Tom</t>
  </si>
  <si>
    <t xml:space="preserve">Jung, Nina</t>
  </si>
  <si>
    <t xml:space="preserve">Weber, Ralf</t>
  </si>
  <si>
    <t xml:space="preserve">Schulz, Mia</t>
  </si>
  <si>
    <t xml:space="preserve">Zimmermann, Hannah</t>
  </si>
  <si>
    <t xml:space="preserve">Scholz, Verena</t>
  </si>
  <si>
    <t xml:space="preserve">Winkler, Hannah</t>
  </si>
  <si>
    <t xml:space="preserve">Wagner, Mia</t>
  </si>
  <si>
    <t xml:space="preserve">König, Clara</t>
  </si>
  <si>
    <t xml:space="preserve">Becker, Frank</t>
  </si>
  <si>
    <t xml:space="preserve">Fuchs, Felix</t>
  </si>
  <si>
    <t xml:space="preserve">Beck, Christina</t>
  </si>
  <si>
    <t xml:space="preserve">Schulz, Thomas</t>
  </si>
  <si>
    <t xml:space="preserve">Roth, Markus</t>
  </si>
  <si>
    <t xml:space="preserve">Neumann, Julia</t>
  </si>
  <si>
    <t xml:space="preserve">Jung, Paul</t>
  </si>
  <si>
    <t xml:space="preserve">Schmidt, Michael</t>
  </si>
  <si>
    <t xml:space="preserve">Roth, Simon</t>
  </si>
  <si>
    <t xml:space="preserve">Mayer, Anna</t>
  </si>
  <si>
    <t xml:space="preserve">Neumann, Lea</t>
  </si>
  <si>
    <t xml:space="preserve">Braun, Stefan</t>
  </si>
  <si>
    <t xml:space="preserve">Albrecht, Simon</t>
  </si>
  <si>
    <t xml:space="preserve">Klein, Anna</t>
  </si>
  <si>
    <t xml:space="preserve">Lang, Markus</t>
  </si>
  <si>
    <t xml:space="preserve">Jung, Sven</t>
  </si>
  <si>
    <t xml:space="preserve">Lange, Michael</t>
  </si>
  <si>
    <t xml:space="preserve">Klein, Laura</t>
  </si>
  <si>
    <t xml:space="preserve">Braun, Andreas</t>
  </si>
  <si>
    <t xml:space="preserve">Beck, Marie</t>
  </si>
  <si>
    <t xml:space="preserve">Herrmann, Andreas</t>
  </si>
  <si>
    <t xml:space="preserve">Herrmann, Sarah</t>
  </si>
  <si>
    <t xml:space="preserve">Krüger, Christina</t>
  </si>
  <si>
    <t xml:space="preserve">Lang, Michael</t>
  </si>
  <si>
    <t xml:space="preserve">Huber, Felix</t>
  </si>
  <si>
    <t xml:space="preserve">Krause, Daniel</t>
  </si>
  <si>
    <t xml:space="preserve">Franke, Tim</t>
  </si>
  <si>
    <t xml:space="preserve">Lang, Lea</t>
  </si>
  <si>
    <t xml:space="preserve">Klein, Daniel</t>
  </si>
  <si>
    <t xml:space="preserve">Lang, Lukas</t>
  </si>
  <si>
    <t xml:space="preserve">Fischer, Markus</t>
  </si>
  <si>
    <t xml:space="preserve">Klein, Holger</t>
  </si>
  <si>
    <t xml:space="preserve">Baumann, Tom</t>
  </si>
  <si>
    <t xml:space="preserve">Schmidt, Hannah</t>
  </si>
  <si>
    <t xml:space="preserve">Roth, Sandra</t>
  </si>
  <si>
    <t xml:space="preserve">Roth, Melanie</t>
  </si>
  <si>
    <t xml:space="preserve">Schuster, Tom</t>
  </si>
  <si>
    <t xml:space="preserve">Schuster, Jan</t>
  </si>
  <si>
    <t xml:space="preserve">Weiß, Sophie</t>
  </si>
  <si>
    <t xml:space="preserve">Walter, Markus</t>
  </si>
  <si>
    <t xml:space="preserve">Hahn, Lisa</t>
  </si>
  <si>
    <t xml:space="preserve">Walter, Holger</t>
  </si>
  <si>
    <t xml:space="preserve">Braun, Laura</t>
  </si>
  <si>
    <t xml:space="preserve">Stammdatenpflege</t>
  </si>
  <si>
    <t xml:space="preserve">Herrmann, Niklas</t>
  </si>
  <si>
    <t xml:space="preserve">Krüger, Frank</t>
  </si>
  <si>
    <t xml:space="preserve">Maier, Marie</t>
  </si>
  <si>
    <t xml:space="preserve">Wagner, Markus</t>
  </si>
  <si>
    <t xml:space="preserve">Buchhaltung</t>
  </si>
  <si>
    <t xml:space="preserve">König, Jan</t>
  </si>
  <si>
    <t xml:space="preserve">Becker, Nina</t>
  </si>
  <si>
    <t xml:space="preserve">Mayer, Daniel</t>
  </si>
  <si>
    <t xml:space="preserve">Wagner, Christina</t>
  </si>
  <si>
    <t xml:space="preserve">Beck, Claudia</t>
  </si>
  <si>
    <t xml:space="preserve">Albrecht, Dirk</t>
  </si>
  <si>
    <t xml:space="preserve">Baumann, Paul</t>
  </si>
  <si>
    <t xml:space="preserve">Werner, Sarah</t>
  </si>
  <si>
    <t xml:space="preserve">Wolf, Clara</t>
  </si>
  <si>
    <t xml:space="preserve">Disposition</t>
  </si>
  <si>
    <t xml:space="preserve">Möller, Lisa</t>
  </si>
  <si>
    <t xml:space="preserve">Vogel, Markus</t>
  </si>
  <si>
    <t xml:space="preserve">Baumann, Christina</t>
  </si>
  <si>
    <t xml:space="preserve">Berger, Birgit</t>
  </si>
  <si>
    <t xml:space="preserve">Hartmann, Lea</t>
  </si>
  <si>
    <t xml:space="preserve">Braun, Sarah</t>
  </si>
  <si>
    <t xml:space="preserve">Hoffmann, Sarah</t>
  </si>
  <si>
    <t xml:space="preserve">Fischer, Nora</t>
  </si>
  <si>
    <t xml:space="preserve">Weber, Marie</t>
  </si>
  <si>
    <t xml:space="preserve">Lang, Nora</t>
  </si>
  <si>
    <t xml:space="preserve">Baumann, Verena</t>
  </si>
  <si>
    <t xml:space="preserve">Hahn, Julia</t>
  </si>
  <si>
    <t xml:space="preserve">Kaiser, Clara</t>
  </si>
  <si>
    <t xml:space="preserve">Winkler, Sven</t>
  </si>
  <si>
    <t xml:space="preserve">Friedrich, Paul</t>
  </si>
  <si>
    <t xml:space="preserve">Beck, Michael</t>
  </si>
  <si>
    <t xml:space="preserve">Möller, Michael</t>
  </si>
  <si>
    <t xml:space="preserve">Neumann, Ralf</t>
  </si>
  <si>
    <t xml:space="preserve">Baumann, Sarah</t>
  </si>
  <si>
    <t xml:space="preserve">Klein, Ralf</t>
  </si>
  <si>
    <t xml:space="preserve">Herrmann, Petra</t>
  </si>
  <si>
    <t xml:space="preserve">Huber, Jan</t>
  </si>
  <si>
    <t xml:space="preserve">Frank, Lisa</t>
  </si>
  <si>
    <t xml:space="preserve">Schuster, Melanie</t>
  </si>
  <si>
    <t xml:space="preserve">Krause, Tim</t>
  </si>
  <si>
    <t xml:space="preserve">Neumann, Sarah</t>
  </si>
  <si>
    <t xml:space="preserve">Fischer, Florian</t>
  </si>
  <si>
    <t xml:space="preserve">Roth, Sarah</t>
  </si>
  <si>
    <t xml:space="preserve">Lehmann, Anna</t>
  </si>
  <si>
    <t xml:space="preserve">Franke, Lukas</t>
  </si>
  <si>
    <t xml:space="preserve">Werner, Michael</t>
  </si>
  <si>
    <t xml:space="preserve">Franke, Simon</t>
  </si>
  <si>
    <t xml:space="preserve">Köhler, Anna</t>
  </si>
  <si>
    <t xml:space="preserve">Wagner, Simon</t>
  </si>
  <si>
    <t xml:space="preserve">Wolf, Petra</t>
  </si>
  <si>
    <t xml:space="preserve">Baumann, Marie</t>
  </si>
  <si>
    <t xml:space="preserve">Frank, Mia</t>
  </si>
  <si>
    <t xml:space="preserve">Müller, Lena</t>
  </si>
  <si>
    <t xml:space="preserve">Hartmann, Lisa</t>
  </si>
  <si>
    <t xml:space="preserve">Krause, Ralf</t>
  </si>
  <si>
    <t xml:space="preserve">Schuster, Laura</t>
  </si>
  <si>
    <t xml:space="preserve">Walter, Frank</t>
  </si>
  <si>
    <t xml:space="preserve">Huber, Verena</t>
  </si>
  <si>
    <t xml:space="preserve">Lange, Lea</t>
  </si>
  <si>
    <t xml:space="preserve">Köhler, Lisa</t>
  </si>
  <si>
    <t xml:space="preserve">Braun, Lea</t>
  </si>
  <si>
    <t xml:space="preserve">Hahn, David</t>
  </si>
  <si>
    <t xml:space="preserve">Fischer, Stefan</t>
  </si>
  <si>
    <t xml:space="preserve">Peters, Jan</t>
  </si>
  <si>
    <t xml:space="preserve">Schmidt, Thomas</t>
  </si>
  <si>
    <t xml:space="preserve">Frank, Petra</t>
  </si>
  <si>
    <t xml:space="preserve">Becker, Ralf</t>
  </si>
  <si>
    <t xml:space="preserve">Wagner, Ines</t>
  </si>
  <si>
    <t xml:space="preserve">Becker, Dirk</t>
  </si>
  <si>
    <t xml:space="preserve">Keller, Sophie</t>
  </si>
  <si>
    <t xml:space="preserve">Lorenz, Lukas</t>
  </si>
  <si>
    <t xml:space="preserve">Schwarz, Melanie</t>
  </si>
  <si>
    <t xml:space="preserve">Weber, Sven</t>
  </si>
  <si>
    <t xml:space="preserve">Lange, Max</t>
  </si>
  <si>
    <t xml:space="preserve">Hoffmann, Tim</t>
  </si>
  <si>
    <t xml:space="preserve">Neumann, Birgit</t>
  </si>
  <si>
    <t xml:space="preserve">Mayer, Claudia</t>
  </si>
  <si>
    <t xml:space="preserve">Fuchs, Daniel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</si>
</sst>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i val="true"/>
      <sz val="11"/>
      <color rgb="FF595959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8" min="5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11"/>
    <col collapsed="false" customWidth="true" hidden="false" outlineLevel="0" max="16" min="16" style="0" width="22"/>
    <col collapsed="false" customWidth="true" hidden="false" outlineLevel="0" max="17" min="17" style="0" width="14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10001</v>
      </c>
      <c r="B2" s="3" t="s">
        <v>17</v>
      </c>
      <c r="C2" s="3" t="s">
        <v>18</v>
      </c>
      <c r="D2" s="4" t="n">
        <v>1</v>
      </c>
      <c r="E2" s="4" t="n">
        <v>139</v>
      </c>
      <c r="F2" s="4" t="n">
        <v>0</v>
      </c>
      <c r="G2" s="4" t="n">
        <v>138</v>
      </c>
      <c r="H2" s="4" t="n">
        <v>0</v>
      </c>
      <c r="I2" s="5" t="n">
        <f aca="false">E2+G2</f>
        <v>277</v>
      </c>
      <c r="J2" s="4" t="n">
        <v>640</v>
      </c>
      <c r="K2" s="4" t="n">
        <v>533</v>
      </c>
      <c r="L2" s="5" t="n">
        <f aca="false">K2-J2</f>
        <v>-107</v>
      </c>
      <c r="M2" s="4" t="n">
        <v>525</v>
      </c>
      <c r="N2" s="5" t="n">
        <f aca="false">M2-H2</f>
        <v>525</v>
      </c>
      <c r="O2" s="4" t="n">
        <v>1058</v>
      </c>
      <c r="P2" s="4" t="n">
        <v>640</v>
      </c>
      <c r="Q2" s="6" t="n">
        <f aca="false">IFERROR(K2/J2,0)</f>
        <v>0.8328125</v>
      </c>
    </row>
    <row r="3" customFormat="false" ht="15" hidden="false" customHeight="false" outlineLevel="0" collapsed="false">
      <c r="A3" s="2" t="n">
        <v>10002</v>
      </c>
      <c r="B3" s="3" t="s">
        <v>19</v>
      </c>
      <c r="C3" s="3" t="s">
        <v>20</v>
      </c>
      <c r="D3" s="4" t="n">
        <v>1</v>
      </c>
      <c r="E3" s="4" t="n">
        <v>160</v>
      </c>
      <c r="F3" s="4" t="n">
        <v>4</v>
      </c>
      <c r="G3" s="4" t="n">
        <v>150</v>
      </c>
      <c r="H3" s="4" t="n">
        <v>0</v>
      </c>
      <c r="I3" s="5" t="n">
        <f aca="false">E3+G3</f>
        <v>310</v>
      </c>
      <c r="J3" s="4" t="n">
        <v>640</v>
      </c>
      <c r="K3" s="4" t="n">
        <v>643</v>
      </c>
      <c r="L3" s="5" t="n">
        <f aca="false">K3-J3</f>
        <v>3</v>
      </c>
      <c r="M3" s="4" t="n">
        <v>644</v>
      </c>
      <c r="N3" s="5" t="n">
        <f aca="false">M3-H3</f>
        <v>644</v>
      </c>
      <c r="O3" s="4" t="n">
        <v>1281</v>
      </c>
      <c r="P3" s="4" t="n">
        <v>640</v>
      </c>
      <c r="Q3" s="6" t="n">
        <f aca="false">IFERROR(K3/J3,0)</f>
        <v>1.0046875</v>
      </c>
    </row>
    <row r="4" customFormat="false" ht="15" hidden="false" customHeight="false" outlineLevel="0" collapsed="false">
      <c r="A4" s="2" t="n">
        <v>10003</v>
      </c>
      <c r="B4" s="3" t="s">
        <v>21</v>
      </c>
      <c r="C4" s="3" t="s">
        <v>22</v>
      </c>
      <c r="D4" s="4" t="n">
        <v>1</v>
      </c>
      <c r="E4" s="4" t="n">
        <v>159</v>
      </c>
      <c r="F4" s="4" t="n">
        <v>0</v>
      </c>
      <c r="G4" s="4" t="n">
        <v>154</v>
      </c>
      <c r="H4" s="4" t="n">
        <v>40</v>
      </c>
      <c r="I4" s="5" t="n">
        <f aca="false">E4+G4</f>
        <v>313</v>
      </c>
      <c r="J4" s="4" t="n">
        <v>640</v>
      </c>
      <c r="K4" s="4" t="n">
        <v>596</v>
      </c>
      <c r="L4" s="5" t="n">
        <f aca="false">K4-J4</f>
        <v>-44</v>
      </c>
      <c r="M4" s="4" t="n">
        <v>595</v>
      </c>
      <c r="N4" s="5" t="n">
        <f aca="false">M4-H4</f>
        <v>555</v>
      </c>
      <c r="O4" s="4" t="n">
        <v>1212</v>
      </c>
      <c r="P4" s="4" t="n">
        <v>640</v>
      </c>
      <c r="Q4" s="6" t="n">
        <f aca="false">IFERROR(K4/J4,0)</f>
        <v>0.93125</v>
      </c>
    </row>
    <row r="5" customFormat="false" ht="15" hidden="false" customHeight="false" outlineLevel="0" collapsed="false">
      <c r="A5" s="2" t="n">
        <v>10004</v>
      </c>
      <c r="B5" s="3" t="s">
        <v>23</v>
      </c>
      <c r="C5" s="3" t="s">
        <v>20</v>
      </c>
      <c r="D5" s="4" t="n">
        <v>0.8</v>
      </c>
      <c r="E5" s="4" t="n">
        <v>96</v>
      </c>
      <c r="F5" s="4" t="n">
        <v>0</v>
      </c>
      <c r="G5" s="4" t="n">
        <v>103</v>
      </c>
      <c r="H5" s="4" t="n">
        <v>0</v>
      </c>
      <c r="I5" s="5" t="n">
        <f aca="false">E5+G5</f>
        <v>199</v>
      </c>
      <c r="J5" s="4" t="n">
        <v>512</v>
      </c>
      <c r="K5" s="4" t="n">
        <v>412</v>
      </c>
      <c r="L5" s="5" t="n">
        <f aca="false">K5-J5</f>
        <v>-100</v>
      </c>
      <c r="M5" s="4" t="n">
        <v>409</v>
      </c>
      <c r="N5" s="5" t="n">
        <f aca="false">M5-H5</f>
        <v>409</v>
      </c>
      <c r="O5" s="4" t="n">
        <v>843</v>
      </c>
      <c r="P5" s="4" t="n">
        <v>512</v>
      </c>
      <c r="Q5" s="6" t="n">
        <f aca="false">IFERROR(K5/J5,0)</f>
        <v>0.8046875</v>
      </c>
    </row>
    <row r="6" customFormat="false" ht="15" hidden="false" customHeight="false" outlineLevel="0" collapsed="false">
      <c r="A6" s="2" t="n">
        <v>10005</v>
      </c>
      <c r="B6" s="3" t="s">
        <v>24</v>
      </c>
      <c r="C6" s="3" t="s">
        <v>25</v>
      </c>
      <c r="D6" s="4" t="n">
        <v>0.8</v>
      </c>
      <c r="E6" s="4" t="n">
        <v>121</v>
      </c>
      <c r="F6" s="4" t="n">
        <v>4</v>
      </c>
      <c r="G6" s="4" t="n">
        <v>127</v>
      </c>
      <c r="H6" s="4" t="n">
        <v>0</v>
      </c>
      <c r="I6" s="5" t="n">
        <f aca="false">E6+G6</f>
        <v>248</v>
      </c>
      <c r="J6" s="4" t="n">
        <v>512</v>
      </c>
      <c r="K6" s="4" t="n">
        <v>487</v>
      </c>
      <c r="L6" s="5" t="n">
        <f aca="false">K6-J6</f>
        <v>-25</v>
      </c>
      <c r="M6" s="4" t="n">
        <v>486</v>
      </c>
      <c r="N6" s="5" t="n">
        <f aca="false">M6-H6</f>
        <v>486</v>
      </c>
      <c r="O6" s="4" t="n">
        <v>1022</v>
      </c>
      <c r="P6" s="4" t="n">
        <v>512</v>
      </c>
      <c r="Q6" s="6" t="n">
        <f aca="false">IFERROR(K6/J6,0)</f>
        <v>0.951171875</v>
      </c>
    </row>
    <row r="7" customFormat="false" ht="15" hidden="false" customHeight="false" outlineLevel="0" collapsed="false">
      <c r="A7" s="2" t="n">
        <v>10006</v>
      </c>
      <c r="B7" s="3" t="s">
        <v>26</v>
      </c>
      <c r="C7" s="3" t="s">
        <v>20</v>
      </c>
      <c r="D7" s="4" t="n">
        <v>1</v>
      </c>
      <c r="E7" s="4" t="n">
        <v>120</v>
      </c>
      <c r="F7" s="4" t="n">
        <v>0</v>
      </c>
      <c r="G7" s="4" t="n">
        <v>124</v>
      </c>
      <c r="H7" s="4" t="n">
        <v>0</v>
      </c>
      <c r="I7" s="5" t="n">
        <f aca="false">E7+G7</f>
        <v>244</v>
      </c>
      <c r="J7" s="4" t="n">
        <v>640</v>
      </c>
      <c r="K7" s="4" t="n">
        <v>527</v>
      </c>
      <c r="L7" s="5" t="n">
        <f aca="false">K7-J7</f>
        <v>-113</v>
      </c>
      <c r="M7" s="4" t="n">
        <v>541</v>
      </c>
      <c r="N7" s="5" t="n">
        <f aca="false">M7-H7</f>
        <v>541</v>
      </c>
      <c r="O7" s="4" t="n">
        <v>1097</v>
      </c>
      <c r="P7" s="4" t="n">
        <v>640</v>
      </c>
      <c r="Q7" s="6" t="n">
        <f aca="false">IFERROR(K7/J7,0)</f>
        <v>0.8234375</v>
      </c>
    </row>
    <row r="8" customFormat="false" ht="15" hidden="false" customHeight="false" outlineLevel="0" collapsed="false">
      <c r="A8" s="2" t="n">
        <v>10007</v>
      </c>
      <c r="B8" s="3" t="s">
        <v>27</v>
      </c>
      <c r="C8" s="3" t="s">
        <v>20</v>
      </c>
      <c r="D8" s="4" t="n">
        <v>0.75</v>
      </c>
      <c r="E8" s="4" t="n">
        <v>89</v>
      </c>
      <c r="F8" s="4" t="n">
        <v>0</v>
      </c>
      <c r="G8" s="4" t="n">
        <v>89</v>
      </c>
      <c r="H8" s="4" t="n">
        <v>8</v>
      </c>
      <c r="I8" s="5" t="n">
        <f aca="false">E8+G8</f>
        <v>178</v>
      </c>
      <c r="J8" s="4" t="n">
        <v>480</v>
      </c>
      <c r="K8" s="4" t="n">
        <v>370</v>
      </c>
      <c r="L8" s="5" t="n">
        <f aca="false">K8-J8</f>
        <v>-110</v>
      </c>
      <c r="M8" s="4" t="n">
        <v>379</v>
      </c>
      <c r="N8" s="5" t="n">
        <f aca="false">M8-H8</f>
        <v>371</v>
      </c>
      <c r="O8" s="4" t="n">
        <v>744</v>
      </c>
      <c r="P8" s="4" t="n">
        <v>480</v>
      </c>
      <c r="Q8" s="6" t="n">
        <f aca="false">IFERROR(K8/J8,0)</f>
        <v>0.770833333333333</v>
      </c>
    </row>
    <row r="9" customFormat="false" ht="15" hidden="false" customHeight="false" outlineLevel="0" collapsed="false">
      <c r="A9" s="2" t="n">
        <v>10008</v>
      </c>
      <c r="B9" s="3" t="s">
        <v>28</v>
      </c>
      <c r="C9" s="3" t="s">
        <v>18</v>
      </c>
      <c r="D9" s="4" t="n">
        <v>0.75</v>
      </c>
      <c r="E9" s="4" t="n">
        <v>115</v>
      </c>
      <c r="F9" s="4" t="n">
        <v>0</v>
      </c>
      <c r="G9" s="4" t="n">
        <v>117</v>
      </c>
      <c r="H9" s="4" t="n">
        <v>0</v>
      </c>
      <c r="I9" s="5" t="n">
        <f aca="false">E9+G9</f>
        <v>232</v>
      </c>
      <c r="J9" s="4" t="n">
        <v>480</v>
      </c>
      <c r="K9" s="4" t="n">
        <v>444</v>
      </c>
      <c r="L9" s="5" t="n">
        <f aca="false">K9-J9</f>
        <v>-36</v>
      </c>
      <c r="M9" s="4" t="n">
        <v>457</v>
      </c>
      <c r="N9" s="5" t="n">
        <f aca="false">M9-H9</f>
        <v>457</v>
      </c>
      <c r="O9" s="4" t="n">
        <v>901</v>
      </c>
      <c r="P9" s="4" t="n">
        <v>480</v>
      </c>
      <c r="Q9" s="6" t="n">
        <f aca="false">IFERROR(K9/J9,0)</f>
        <v>0.925</v>
      </c>
    </row>
    <row r="10" customFormat="false" ht="15" hidden="false" customHeight="false" outlineLevel="0" collapsed="false">
      <c r="A10" s="2" t="n">
        <v>10009</v>
      </c>
      <c r="B10" s="3" t="s">
        <v>29</v>
      </c>
      <c r="C10" s="3" t="s">
        <v>18</v>
      </c>
      <c r="D10" s="4" t="n">
        <v>1</v>
      </c>
      <c r="E10" s="4" t="n">
        <v>147</v>
      </c>
      <c r="F10" s="4" t="n">
        <v>0</v>
      </c>
      <c r="G10" s="4" t="n">
        <v>148</v>
      </c>
      <c r="H10" s="4" t="n">
        <v>30</v>
      </c>
      <c r="I10" s="5" t="n">
        <f aca="false">E10+G10</f>
        <v>295</v>
      </c>
      <c r="J10" s="4" t="n">
        <v>640</v>
      </c>
      <c r="K10" s="4" t="n">
        <v>630</v>
      </c>
      <c r="L10" s="5" t="n">
        <f aca="false">K10-J10</f>
        <v>-10</v>
      </c>
      <c r="M10" s="4" t="n">
        <v>645</v>
      </c>
      <c r="N10" s="5" t="n">
        <f aca="false">M10-H10</f>
        <v>615</v>
      </c>
      <c r="O10" s="4" t="n">
        <v>1253</v>
      </c>
      <c r="P10" s="4" t="n">
        <v>640</v>
      </c>
      <c r="Q10" s="6" t="n">
        <f aca="false">IFERROR(K10/J10,0)</f>
        <v>0.984375</v>
      </c>
    </row>
    <row r="11" customFormat="false" ht="15" hidden="false" customHeight="false" outlineLevel="0" collapsed="false">
      <c r="A11" s="2" t="n">
        <v>10010</v>
      </c>
      <c r="B11" s="3" t="s">
        <v>30</v>
      </c>
      <c r="C11" s="3" t="s">
        <v>31</v>
      </c>
      <c r="D11" s="4" t="n">
        <v>0.5</v>
      </c>
      <c r="E11" s="4" t="n">
        <v>81</v>
      </c>
      <c r="F11" s="4" t="n">
        <v>4</v>
      </c>
      <c r="G11" s="4" t="n">
        <v>86</v>
      </c>
      <c r="H11" s="4" t="n">
        <v>0</v>
      </c>
      <c r="I11" s="5" t="n">
        <f aca="false">E11+G11</f>
        <v>167</v>
      </c>
      <c r="J11" s="4" t="n">
        <v>320</v>
      </c>
      <c r="K11" s="4" t="n">
        <v>328</v>
      </c>
      <c r="L11" s="5" t="n">
        <f aca="false">K11-J11</f>
        <v>8</v>
      </c>
      <c r="M11" s="4" t="n">
        <v>334</v>
      </c>
      <c r="N11" s="5" t="n">
        <f aca="false">M11-H11</f>
        <v>334</v>
      </c>
      <c r="O11" s="4" t="n">
        <v>666</v>
      </c>
      <c r="P11" s="4" t="n">
        <v>320</v>
      </c>
      <c r="Q11" s="6" t="n">
        <f aca="false">IFERROR(K11/J11,0)</f>
        <v>1.025</v>
      </c>
    </row>
    <row r="12" customFormat="false" ht="15" hidden="false" customHeight="false" outlineLevel="0" collapsed="false">
      <c r="A12" s="2" t="n">
        <v>10011</v>
      </c>
      <c r="B12" s="3" t="s">
        <v>32</v>
      </c>
      <c r="C12" s="3" t="s">
        <v>31</v>
      </c>
      <c r="D12" s="4" t="n">
        <v>0.75</v>
      </c>
      <c r="E12" s="4" t="n">
        <v>131</v>
      </c>
      <c r="F12" s="4" t="n">
        <v>8</v>
      </c>
      <c r="G12" s="4" t="n">
        <v>140</v>
      </c>
      <c r="H12" s="4" t="n">
        <v>30</v>
      </c>
      <c r="I12" s="5" t="n">
        <f aca="false">E12+G12</f>
        <v>271</v>
      </c>
      <c r="J12" s="4" t="n">
        <v>480</v>
      </c>
      <c r="K12" s="4" t="n">
        <v>559</v>
      </c>
      <c r="L12" s="5" t="n">
        <f aca="false">K12-J12</f>
        <v>79</v>
      </c>
      <c r="M12" s="4" t="n">
        <v>550</v>
      </c>
      <c r="N12" s="5" t="n">
        <f aca="false">M12-H12</f>
        <v>520</v>
      </c>
      <c r="O12" s="4" t="n">
        <v>1131</v>
      </c>
      <c r="P12" s="4" t="n">
        <v>480</v>
      </c>
      <c r="Q12" s="6" t="n">
        <f aca="false">IFERROR(K12/J12,0)</f>
        <v>1.16458333333333</v>
      </c>
    </row>
    <row r="13" customFormat="false" ht="15" hidden="false" customHeight="false" outlineLevel="0" collapsed="false">
      <c r="A13" s="2" t="n">
        <v>10012</v>
      </c>
      <c r="B13" s="3" t="s">
        <v>33</v>
      </c>
      <c r="C13" s="3" t="s">
        <v>20</v>
      </c>
      <c r="D13" s="4" t="n">
        <v>1</v>
      </c>
      <c r="E13" s="4" t="n">
        <v>122</v>
      </c>
      <c r="F13" s="4" t="n">
        <v>0</v>
      </c>
      <c r="G13" s="4" t="n">
        <v>123</v>
      </c>
      <c r="H13" s="4" t="n">
        <v>0</v>
      </c>
      <c r="I13" s="5" t="n">
        <f aca="false">E13+G13</f>
        <v>245</v>
      </c>
      <c r="J13" s="4" t="n">
        <v>640</v>
      </c>
      <c r="K13" s="4" t="n">
        <v>463</v>
      </c>
      <c r="L13" s="5" t="n">
        <f aca="false">K13-J13</f>
        <v>-177</v>
      </c>
      <c r="M13" s="4" t="n">
        <v>471</v>
      </c>
      <c r="N13" s="5" t="n">
        <f aca="false">M13-H13</f>
        <v>471</v>
      </c>
      <c r="O13" s="4" t="n">
        <v>917</v>
      </c>
      <c r="P13" s="4" t="n">
        <v>640</v>
      </c>
      <c r="Q13" s="6" t="n">
        <f aca="false">IFERROR(K13/J13,0)</f>
        <v>0.7234375</v>
      </c>
    </row>
    <row r="14" customFormat="false" ht="15" hidden="false" customHeight="false" outlineLevel="0" collapsed="false">
      <c r="A14" s="2" t="n">
        <v>10013</v>
      </c>
      <c r="B14" s="3" t="s">
        <v>34</v>
      </c>
      <c r="C14" s="3" t="s">
        <v>20</v>
      </c>
      <c r="D14" s="4" t="n">
        <v>0.8</v>
      </c>
      <c r="E14" s="4" t="n">
        <v>98</v>
      </c>
      <c r="F14" s="4" t="n">
        <v>0</v>
      </c>
      <c r="G14" s="4" t="n">
        <v>96</v>
      </c>
      <c r="H14" s="4" t="n">
        <v>0</v>
      </c>
      <c r="I14" s="5" t="n">
        <f aca="false">E14+G14</f>
        <v>194</v>
      </c>
      <c r="J14" s="4" t="n">
        <v>512</v>
      </c>
      <c r="K14" s="4" t="n">
        <v>399</v>
      </c>
      <c r="L14" s="5" t="n">
        <f aca="false">K14-J14</f>
        <v>-113</v>
      </c>
      <c r="M14" s="4" t="n">
        <v>392</v>
      </c>
      <c r="N14" s="5" t="n">
        <f aca="false">M14-H14</f>
        <v>392</v>
      </c>
      <c r="O14" s="4" t="n">
        <v>816</v>
      </c>
      <c r="P14" s="4" t="n">
        <v>512</v>
      </c>
      <c r="Q14" s="6" t="n">
        <f aca="false">IFERROR(K14/J14,0)</f>
        <v>0.779296875</v>
      </c>
    </row>
    <row r="15" customFormat="false" ht="15" hidden="false" customHeight="false" outlineLevel="0" collapsed="false">
      <c r="A15" s="2" t="n">
        <v>10014</v>
      </c>
      <c r="B15" s="3" t="s">
        <v>35</v>
      </c>
      <c r="C15" s="3" t="s">
        <v>20</v>
      </c>
      <c r="D15" s="4" t="n">
        <v>0.8</v>
      </c>
      <c r="E15" s="4" t="n">
        <v>89</v>
      </c>
      <c r="F15" s="4" t="n">
        <v>0</v>
      </c>
      <c r="G15" s="4" t="n">
        <v>83</v>
      </c>
      <c r="H15" s="4" t="n">
        <v>0</v>
      </c>
      <c r="I15" s="5" t="n">
        <f aca="false">E15+G15</f>
        <v>172</v>
      </c>
      <c r="J15" s="4" t="n">
        <v>512</v>
      </c>
      <c r="K15" s="4" t="n">
        <v>365</v>
      </c>
      <c r="L15" s="5" t="n">
        <f aca="false">K15-J15</f>
        <v>-147</v>
      </c>
      <c r="M15" s="4" t="n">
        <v>372</v>
      </c>
      <c r="N15" s="5" t="n">
        <f aca="false">M15-H15</f>
        <v>372</v>
      </c>
      <c r="O15" s="4" t="n">
        <v>756</v>
      </c>
      <c r="P15" s="4" t="n">
        <v>512</v>
      </c>
      <c r="Q15" s="6" t="n">
        <f aca="false">IFERROR(K15/J15,0)</f>
        <v>0.712890625</v>
      </c>
    </row>
    <row r="16" customFormat="false" ht="15" hidden="false" customHeight="false" outlineLevel="0" collapsed="false">
      <c r="A16" s="2" t="n">
        <v>10015</v>
      </c>
      <c r="B16" s="3" t="s">
        <v>36</v>
      </c>
      <c r="C16" s="3" t="s">
        <v>20</v>
      </c>
      <c r="D16" s="4" t="n">
        <v>0.8</v>
      </c>
      <c r="E16" s="4" t="n">
        <v>101</v>
      </c>
      <c r="F16" s="4" t="n">
        <v>0</v>
      </c>
      <c r="G16" s="4" t="n">
        <v>99</v>
      </c>
      <c r="H16" s="4" t="n">
        <v>16</v>
      </c>
      <c r="I16" s="5" t="n">
        <f aca="false">E16+G16</f>
        <v>200</v>
      </c>
      <c r="J16" s="4" t="n">
        <v>512</v>
      </c>
      <c r="K16" s="4" t="n">
        <v>391</v>
      </c>
      <c r="L16" s="5" t="n">
        <f aca="false">K16-J16</f>
        <v>-121</v>
      </c>
      <c r="M16" s="4" t="n">
        <v>399</v>
      </c>
      <c r="N16" s="5" t="n">
        <f aca="false">M16-H16</f>
        <v>383</v>
      </c>
      <c r="O16" s="4" t="n">
        <v>769</v>
      </c>
      <c r="P16" s="4" t="n">
        <v>512</v>
      </c>
      <c r="Q16" s="6" t="n">
        <f aca="false">IFERROR(K16/J16,0)</f>
        <v>0.763671875</v>
      </c>
    </row>
    <row r="17" customFormat="false" ht="15" hidden="false" customHeight="false" outlineLevel="0" collapsed="false">
      <c r="A17" s="2" t="n">
        <v>10016</v>
      </c>
      <c r="B17" s="3" t="s">
        <v>37</v>
      </c>
      <c r="C17" s="3" t="s">
        <v>31</v>
      </c>
      <c r="D17" s="4" t="n">
        <v>0.75</v>
      </c>
      <c r="E17" s="4" t="n">
        <v>127</v>
      </c>
      <c r="F17" s="4" t="n">
        <v>8</v>
      </c>
      <c r="G17" s="4" t="n">
        <v>121</v>
      </c>
      <c r="H17" s="4" t="n">
        <v>0</v>
      </c>
      <c r="I17" s="5" t="n">
        <f aca="false">E17+G17</f>
        <v>248</v>
      </c>
      <c r="J17" s="4" t="n">
        <v>480</v>
      </c>
      <c r="K17" s="4" t="n">
        <v>533</v>
      </c>
      <c r="L17" s="5" t="n">
        <f aca="false">K17-J17</f>
        <v>53</v>
      </c>
      <c r="M17" s="4" t="n">
        <v>540</v>
      </c>
      <c r="N17" s="5" t="n">
        <f aca="false">M17-H17</f>
        <v>540</v>
      </c>
      <c r="O17" s="4" t="n">
        <v>1083</v>
      </c>
      <c r="P17" s="4" t="n">
        <v>480</v>
      </c>
      <c r="Q17" s="6" t="n">
        <f aca="false">IFERROR(K17/J17,0)</f>
        <v>1.11041666666667</v>
      </c>
    </row>
    <row r="18" customFormat="false" ht="15" hidden="false" customHeight="false" outlineLevel="0" collapsed="false">
      <c r="A18" s="2" t="n">
        <v>10017</v>
      </c>
      <c r="B18" s="3" t="s">
        <v>38</v>
      </c>
      <c r="C18" s="3" t="s">
        <v>20</v>
      </c>
      <c r="D18" s="4" t="n">
        <v>1</v>
      </c>
      <c r="E18" s="4" t="n">
        <v>144</v>
      </c>
      <c r="F18" s="4" t="n">
        <v>16</v>
      </c>
      <c r="G18" s="4" t="n">
        <v>147</v>
      </c>
      <c r="H18" s="4" t="n">
        <v>0</v>
      </c>
      <c r="I18" s="5" t="n">
        <f aca="false">E18+G18</f>
        <v>291</v>
      </c>
      <c r="J18" s="4" t="n">
        <v>640</v>
      </c>
      <c r="K18" s="4" t="n">
        <v>626</v>
      </c>
      <c r="L18" s="5" t="n">
        <f aca="false">K18-J18</f>
        <v>-14</v>
      </c>
      <c r="M18" s="4" t="n">
        <v>638</v>
      </c>
      <c r="N18" s="5" t="n">
        <f aca="false">M18-H18</f>
        <v>638</v>
      </c>
      <c r="O18" s="4" t="n">
        <v>1263</v>
      </c>
      <c r="P18" s="4" t="n">
        <v>640</v>
      </c>
      <c r="Q18" s="6" t="n">
        <f aca="false">IFERROR(K18/J18,0)</f>
        <v>0.978125</v>
      </c>
    </row>
    <row r="19" customFormat="false" ht="15" hidden="false" customHeight="false" outlineLevel="0" collapsed="false">
      <c r="A19" s="2" t="n">
        <v>10018</v>
      </c>
      <c r="B19" s="3" t="s">
        <v>39</v>
      </c>
      <c r="C19" s="3" t="s">
        <v>22</v>
      </c>
      <c r="D19" s="4" t="n">
        <v>0.5</v>
      </c>
      <c r="E19" s="4" t="n">
        <v>62</v>
      </c>
      <c r="F19" s="4" t="n">
        <v>0</v>
      </c>
      <c r="G19" s="4" t="n">
        <v>60</v>
      </c>
      <c r="H19" s="4" t="n">
        <v>0</v>
      </c>
      <c r="I19" s="5" t="n">
        <f aca="false">E19+G19</f>
        <v>122</v>
      </c>
      <c r="J19" s="4" t="n">
        <v>320</v>
      </c>
      <c r="K19" s="4" t="n">
        <v>262</v>
      </c>
      <c r="L19" s="5" t="n">
        <f aca="false">K19-J19</f>
        <v>-58</v>
      </c>
      <c r="M19" s="4" t="n">
        <v>257</v>
      </c>
      <c r="N19" s="5" t="n">
        <f aca="false">M19-H19</f>
        <v>257</v>
      </c>
      <c r="O19" s="4" t="n">
        <v>530</v>
      </c>
      <c r="P19" s="4" t="n">
        <v>320</v>
      </c>
      <c r="Q19" s="6" t="n">
        <f aca="false">IFERROR(K19/J19,0)</f>
        <v>0.81875</v>
      </c>
    </row>
    <row r="20" customFormat="false" ht="15" hidden="false" customHeight="false" outlineLevel="0" collapsed="false">
      <c r="A20" s="2" t="n">
        <v>10019</v>
      </c>
      <c r="B20" s="3" t="s">
        <v>40</v>
      </c>
      <c r="C20" s="3" t="s">
        <v>18</v>
      </c>
      <c r="D20" s="4" t="n">
        <v>1</v>
      </c>
      <c r="E20" s="4" t="n">
        <v>150</v>
      </c>
      <c r="F20" s="4" t="n">
        <v>0</v>
      </c>
      <c r="G20" s="4" t="n">
        <v>156</v>
      </c>
      <c r="H20" s="4" t="n">
        <v>24</v>
      </c>
      <c r="I20" s="5" t="n">
        <f aca="false">E20+G20</f>
        <v>306</v>
      </c>
      <c r="J20" s="4" t="n">
        <v>640</v>
      </c>
      <c r="K20" s="4" t="n">
        <v>595</v>
      </c>
      <c r="L20" s="5" t="n">
        <f aca="false">K20-J20</f>
        <v>-45</v>
      </c>
      <c r="M20" s="4" t="n">
        <v>590</v>
      </c>
      <c r="N20" s="5" t="n">
        <f aca="false">M20-H20</f>
        <v>566</v>
      </c>
      <c r="O20" s="4" t="n">
        <v>1213</v>
      </c>
      <c r="P20" s="4" t="n">
        <v>640</v>
      </c>
      <c r="Q20" s="6" t="n">
        <f aca="false">IFERROR(K20/J20,0)</f>
        <v>0.9296875</v>
      </c>
    </row>
    <row r="21" customFormat="false" ht="15" hidden="false" customHeight="false" outlineLevel="0" collapsed="false">
      <c r="A21" s="2" t="n">
        <v>10020</v>
      </c>
      <c r="B21" s="3" t="s">
        <v>41</v>
      </c>
      <c r="C21" s="3" t="s">
        <v>31</v>
      </c>
      <c r="D21" s="4" t="n">
        <v>0.6</v>
      </c>
      <c r="E21" s="4" t="n">
        <v>88</v>
      </c>
      <c r="F21" s="4" t="n">
        <v>0</v>
      </c>
      <c r="G21" s="4" t="n">
        <v>91</v>
      </c>
      <c r="H21" s="4" t="n">
        <v>8</v>
      </c>
      <c r="I21" s="5" t="n">
        <f aca="false">E21+G21</f>
        <v>179</v>
      </c>
      <c r="J21" s="4" t="n">
        <v>384</v>
      </c>
      <c r="K21" s="4" t="n">
        <v>368</v>
      </c>
      <c r="L21" s="5" t="n">
        <f aca="false">K21-J21</f>
        <v>-16</v>
      </c>
      <c r="M21" s="4" t="n">
        <v>369</v>
      </c>
      <c r="N21" s="5" t="n">
        <f aca="false">M21-H21</f>
        <v>361</v>
      </c>
      <c r="O21" s="4" t="n">
        <v>769</v>
      </c>
      <c r="P21" s="4" t="n">
        <v>384</v>
      </c>
      <c r="Q21" s="6" t="n">
        <f aca="false">IFERROR(K21/J21,0)</f>
        <v>0.958333333333333</v>
      </c>
    </row>
    <row r="22" customFormat="false" ht="15" hidden="false" customHeight="false" outlineLevel="0" collapsed="false">
      <c r="A22" s="2" t="n">
        <v>10021</v>
      </c>
      <c r="B22" s="3" t="s">
        <v>42</v>
      </c>
      <c r="C22" s="3" t="s">
        <v>22</v>
      </c>
      <c r="D22" s="4" t="n">
        <v>0.6</v>
      </c>
      <c r="E22" s="4" t="n">
        <v>84</v>
      </c>
      <c r="F22" s="4" t="n">
        <v>8</v>
      </c>
      <c r="G22" s="4" t="n">
        <v>79</v>
      </c>
      <c r="H22" s="4" t="n">
        <v>24</v>
      </c>
      <c r="I22" s="5" t="n">
        <f aca="false">E22+G22</f>
        <v>163</v>
      </c>
      <c r="J22" s="4" t="n">
        <v>384</v>
      </c>
      <c r="K22" s="4" t="n">
        <v>338</v>
      </c>
      <c r="L22" s="5" t="n">
        <f aca="false">K22-J22</f>
        <v>-46</v>
      </c>
      <c r="M22" s="4" t="n">
        <v>337</v>
      </c>
      <c r="N22" s="5" t="n">
        <f aca="false">M22-H22</f>
        <v>313</v>
      </c>
      <c r="O22" s="4" t="n">
        <v>667</v>
      </c>
      <c r="P22" s="4" t="n">
        <v>384</v>
      </c>
      <c r="Q22" s="6" t="n">
        <f aca="false">IFERROR(K22/J22,0)</f>
        <v>0.880208333333333</v>
      </c>
    </row>
    <row r="23" customFormat="false" ht="15" hidden="false" customHeight="false" outlineLevel="0" collapsed="false">
      <c r="A23" s="2" t="n">
        <v>10022</v>
      </c>
      <c r="B23" s="3" t="s">
        <v>43</v>
      </c>
      <c r="C23" s="3" t="s">
        <v>31</v>
      </c>
      <c r="D23" s="4" t="n">
        <v>1</v>
      </c>
      <c r="E23" s="4" t="n">
        <v>134</v>
      </c>
      <c r="F23" s="4" t="n">
        <v>4</v>
      </c>
      <c r="G23" s="4" t="n">
        <v>138</v>
      </c>
      <c r="H23" s="4" t="n">
        <v>30</v>
      </c>
      <c r="I23" s="5" t="n">
        <f aca="false">E23+G23</f>
        <v>272</v>
      </c>
      <c r="J23" s="4" t="n">
        <v>640</v>
      </c>
      <c r="K23" s="4" t="n">
        <v>518</v>
      </c>
      <c r="L23" s="5" t="n">
        <f aca="false">K23-J23</f>
        <v>-122</v>
      </c>
      <c r="M23" s="4" t="n">
        <v>511</v>
      </c>
      <c r="N23" s="5" t="n">
        <f aca="false">M23-H23</f>
        <v>481</v>
      </c>
      <c r="O23" s="4" t="n">
        <v>1019</v>
      </c>
      <c r="P23" s="4" t="n">
        <v>640</v>
      </c>
      <c r="Q23" s="6" t="n">
        <f aca="false">IFERROR(K23/J23,0)</f>
        <v>0.809375</v>
      </c>
    </row>
    <row r="24" customFormat="false" ht="15" hidden="false" customHeight="false" outlineLevel="0" collapsed="false">
      <c r="A24" s="2" t="n">
        <v>10023</v>
      </c>
      <c r="B24" s="3" t="s">
        <v>44</v>
      </c>
      <c r="C24" s="3" t="s">
        <v>20</v>
      </c>
      <c r="D24" s="4" t="n">
        <v>1</v>
      </c>
      <c r="E24" s="4" t="n">
        <v>120</v>
      </c>
      <c r="F24" s="4" t="n">
        <v>0</v>
      </c>
      <c r="G24" s="4" t="n">
        <v>125</v>
      </c>
      <c r="H24" s="4" t="n">
        <v>30</v>
      </c>
      <c r="I24" s="5" t="n">
        <f aca="false">E24+G24</f>
        <v>245</v>
      </c>
      <c r="J24" s="4" t="n">
        <v>640</v>
      </c>
      <c r="K24" s="4" t="n">
        <v>479</v>
      </c>
      <c r="L24" s="5" t="n">
        <f aca="false">K24-J24</f>
        <v>-161</v>
      </c>
      <c r="M24" s="4" t="n">
        <v>490</v>
      </c>
      <c r="N24" s="5" t="n">
        <f aca="false">M24-H24</f>
        <v>460</v>
      </c>
      <c r="O24" s="4" t="n">
        <v>941</v>
      </c>
      <c r="P24" s="4" t="n">
        <v>640</v>
      </c>
      <c r="Q24" s="6" t="n">
        <f aca="false">IFERROR(K24/J24,0)</f>
        <v>0.7484375</v>
      </c>
    </row>
    <row r="25" customFormat="false" ht="15" hidden="false" customHeight="false" outlineLevel="0" collapsed="false">
      <c r="A25" s="2" t="n">
        <v>10024</v>
      </c>
      <c r="B25" s="3" t="s">
        <v>45</v>
      </c>
      <c r="C25" s="3" t="s">
        <v>20</v>
      </c>
      <c r="D25" s="4" t="n">
        <v>1</v>
      </c>
      <c r="E25" s="4" t="n">
        <v>122</v>
      </c>
      <c r="F25" s="4" t="n">
        <v>0</v>
      </c>
      <c r="G25" s="4" t="n">
        <v>119</v>
      </c>
      <c r="H25" s="4" t="n">
        <v>0</v>
      </c>
      <c r="I25" s="5" t="n">
        <f aca="false">E25+G25</f>
        <v>241</v>
      </c>
      <c r="J25" s="4" t="n">
        <v>640</v>
      </c>
      <c r="K25" s="4" t="n">
        <v>486</v>
      </c>
      <c r="L25" s="5" t="n">
        <f aca="false">K25-J25</f>
        <v>-154</v>
      </c>
      <c r="M25" s="4" t="n">
        <v>499</v>
      </c>
      <c r="N25" s="5" t="n">
        <f aca="false">M25-H25</f>
        <v>499</v>
      </c>
      <c r="O25" s="4" t="n">
        <v>998</v>
      </c>
      <c r="P25" s="4" t="n">
        <v>640</v>
      </c>
      <c r="Q25" s="6" t="n">
        <f aca="false">IFERROR(K25/J25,0)</f>
        <v>0.759375</v>
      </c>
    </row>
    <row r="26" customFormat="false" ht="15" hidden="false" customHeight="false" outlineLevel="0" collapsed="false">
      <c r="A26" s="2" t="n">
        <v>10025</v>
      </c>
      <c r="B26" s="3" t="s">
        <v>46</v>
      </c>
      <c r="C26" s="3" t="s">
        <v>31</v>
      </c>
      <c r="D26" s="4" t="n">
        <v>0.8</v>
      </c>
      <c r="E26" s="4" t="n">
        <v>131</v>
      </c>
      <c r="F26" s="4" t="n">
        <v>8</v>
      </c>
      <c r="G26" s="4" t="n">
        <v>124</v>
      </c>
      <c r="H26" s="4" t="n">
        <v>24</v>
      </c>
      <c r="I26" s="5" t="n">
        <f aca="false">E26+G26</f>
        <v>255</v>
      </c>
      <c r="J26" s="4" t="n">
        <v>512</v>
      </c>
      <c r="K26" s="4" t="n">
        <v>480</v>
      </c>
      <c r="L26" s="5" t="n">
        <f aca="false">K26-J26</f>
        <v>-32</v>
      </c>
      <c r="M26" s="4" t="n">
        <v>475</v>
      </c>
      <c r="N26" s="5" t="n">
        <f aca="false">M26-H26</f>
        <v>451</v>
      </c>
      <c r="O26" s="4" t="n">
        <v>954</v>
      </c>
      <c r="P26" s="4" t="n">
        <v>512</v>
      </c>
      <c r="Q26" s="6" t="n">
        <f aca="false">IFERROR(K26/J26,0)</f>
        <v>0.9375</v>
      </c>
    </row>
    <row r="27" customFormat="false" ht="15" hidden="false" customHeight="false" outlineLevel="0" collapsed="false">
      <c r="A27" s="2" t="n">
        <v>10026</v>
      </c>
      <c r="B27" s="3" t="s">
        <v>47</v>
      </c>
      <c r="C27" s="3" t="s">
        <v>25</v>
      </c>
      <c r="D27" s="4" t="n">
        <v>0.5</v>
      </c>
      <c r="E27" s="4" t="n">
        <v>76</v>
      </c>
      <c r="F27" s="4" t="n">
        <v>16</v>
      </c>
      <c r="G27" s="4" t="n">
        <v>71</v>
      </c>
      <c r="H27" s="4" t="n">
        <v>24</v>
      </c>
      <c r="I27" s="5" t="n">
        <f aca="false">E27+G27</f>
        <v>147</v>
      </c>
      <c r="J27" s="4" t="n">
        <v>320</v>
      </c>
      <c r="K27" s="4" t="n">
        <v>275</v>
      </c>
      <c r="L27" s="5" t="n">
        <f aca="false">K27-J27</f>
        <v>-45</v>
      </c>
      <c r="M27" s="4" t="n">
        <v>282</v>
      </c>
      <c r="N27" s="5" t="n">
        <f aca="false">M27-H27</f>
        <v>258</v>
      </c>
      <c r="O27" s="4" t="n">
        <v>537</v>
      </c>
      <c r="P27" s="4" t="n">
        <v>320</v>
      </c>
      <c r="Q27" s="6" t="n">
        <f aca="false">IFERROR(K27/J27,0)</f>
        <v>0.859375</v>
      </c>
    </row>
    <row r="28" customFormat="false" ht="15" hidden="false" customHeight="false" outlineLevel="0" collapsed="false">
      <c r="A28" s="2" t="n">
        <v>10027</v>
      </c>
      <c r="B28" s="3" t="s">
        <v>48</v>
      </c>
      <c r="C28" s="3" t="s">
        <v>20</v>
      </c>
      <c r="D28" s="4" t="n">
        <v>1</v>
      </c>
      <c r="E28" s="4" t="n">
        <v>176</v>
      </c>
      <c r="F28" s="4" t="n">
        <v>8</v>
      </c>
      <c r="G28" s="4" t="n">
        <v>184</v>
      </c>
      <c r="H28" s="4" t="n">
        <v>0</v>
      </c>
      <c r="I28" s="5" t="n">
        <f aca="false">E28+G28</f>
        <v>360</v>
      </c>
      <c r="J28" s="4" t="n">
        <v>640</v>
      </c>
      <c r="K28" s="4" t="n">
        <v>681</v>
      </c>
      <c r="L28" s="5" t="n">
        <f aca="false">K28-J28</f>
        <v>41</v>
      </c>
      <c r="M28" s="4" t="n">
        <v>678</v>
      </c>
      <c r="N28" s="5" t="n">
        <f aca="false">M28-H28</f>
        <v>678</v>
      </c>
      <c r="O28" s="4" t="n">
        <v>1409</v>
      </c>
      <c r="P28" s="4" t="n">
        <v>640</v>
      </c>
      <c r="Q28" s="6" t="n">
        <f aca="false">IFERROR(K28/J28,0)</f>
        <v>1.0640625</v>
      </c>
    </row>
    <row r="29" customFormat="false" ht="15" hidden="false" customHeight="false" outlineLevel="0" collapsed="false">
      <c r="A29" s="2" t="n">
        <v>10028</v>
      </c>
      <c r="B29" s="3" t="s">
        <v>49</v>
      </c>
      <c r="C29" s="3" t="s">
        <v>20</v>
      </c>
      <c r="D29" s="4" t="n">
        <v>1</v>
      </c>
      <c r="E29" s="4" t="n">
        <v>149</v>
      </c>
      <c r="F29" s="4" t="n">
        <v>4</v>
      </c>
      <c r="G29" s="4" t="n">
        <v>149</v>
      </c>
      <c r="H29" s="4" t="n">
        <v>24</v>
      </c>
      <c r="I29" s="5" t="n">
        <f aca="false">E29+G29</f>
        <v>298</v>
      </c>
      <c r="J29" s="4" t="n">
        <v>640</v>
      </c>
      <c r="K29" s="4" t="n">
        <v>610</v>
      </c>
      <c r="L29" s="5" t="n">
        <f aca="false">K29-J29</f>
        <v>-30</v>
      </c>
      <c r="M29" s="4" t="n">
        <v>608</v>
      </c>
      <c r="N29" s="5" t="n">
        <f aca="false">M29-H29</f>
        <v>584</v>
      </c>
      <c r="O29" s="4" t="n">
        <v>1192</v>
      </c>
      <c r="P29" s="4" t="n">
        <v>640</v>
      </c>
      <c r="Q29" s="6" t="n">
        <f aca="false">IFERROR(K29/J29,0)</f>
        <v>0.953125</v>
      </c>
    </row>
    <row r="30" customFormat="false" ht="15" hidden="false" customHeight="false" outlineLevel="0" collapsed="false">
      <c r="A30" s="2" t="n">
        <v>10029</v>
      </c>
      <c r="B30" s="3" t="s">
        <v>50</v>
      </c>
      <c r="C30" s="3" t="s">
        <v>20</v>
      </c>
      <c r="D30" s="4" t="n">
        <v>1</v>
      </c>
      <c r="E30" s="4" t="n">
        <v>163</v>
      </c>
      <c r="F30" s="4" t="n">
        <v>0</v>
      </c>
      <c r="G30" s="4" t="n">
        <v>151</v>
      </c>
      <c r="H30" s="4" t="n">
        <v>24</v>
      </c>
      <c r="I30" s="5" t="n">
        <f aca="false">E30+G30</f>
        <v>314</v>
      </c>
      <c r="J30" s="4" t="n">
        <v>640</v>
      </c>
      <c r="K30" s="4" t="n">
        <v>635</v>
      </c>
      <c r="L30" s="5" t="n">
        <f aca="false">K30-J30</f>
        <v>-5</v>
      </c>
      <c r="M30" s="4" t="n">
        <v>628</v>
      </c>
      <c r="N30" s="5" t="n">
        <f aca="false">M30-H30</f>
        <v>604</v>
      </c>
      <c r="O30" s="4" t="n">
        <v>1242</v>
      </c>
      <c r="P30" s="4" t="n">
        <v>640</v>
      </c>
      <c r="Q30" s="6" t="n">
        <f aca="false">IFERROR(K30/J30,0)</f>
        <v>0.9921875</v>
      </c>
    </row>
    <row r="31" customFormat="false" ht="15" hidden="false" customHeight="false" outlineLevel="0" collapsed="false">
      <c r="A31" s="2" t="n">
        <v>10030</v>
      </c>
      <c r="B31" s="3" t="s">
        <v>51</v>
      </c>
      <c r="C31" s="3" t="s">
        <v>20</v>
      </c>
      <c r="D31" s="4" t="n">
        <v>0.5</v>
      </c>
      <c r="E31" s="4" t="n">
        <v>68</v>
      </c>
      <c r="F31" s="4" t="n">
        <v>12</v>
      </c>
      <c r="G31" s="4" t="n">
        <v>63</v>
      </c>
      <c r="H31" s="4" t="n">
        <v>8</v>
      </c>
      <c r="I31" s="5" t="n">
        <f aca="false">E31+G31</f>
        <v>131</v>
      </c>
      <c r="J31" s="4" t="n">
        <v>320</v>
      </c>
      <c r="K31" s="4" t="n">
        <v>264</v>
      </c>
      <c r="L31" s="5" t="n">
        <f aca="false">K31-J31</f>
        <v>-56</v>
      </c>
      <c r="M31" s="4" t="n">
        <v>267</v>
      </c>
      <c r="N31" s="5" t="n">
        <f aca="false">M31-H31</f>
        <v>259</v>
      </c>
      <c r="O31" s="4" t="n">
        <v>520</v>
      </c>
      <c r="P31" s="4" t="n">
        <v>320</v>
      </c>
      <c r="Q31" s="6" t="n">
        <f aca="false">IFERROR(K31/J31,0)</f>
        <v>0.825</v>
      </c>
    </row>
    <row r="32" customFormat="false" ht="15" hidden="false" customHeight="false" outlineLevel="0" collapsed="false">
      <c r="A32" s="2" t="n">
        <v>10031</v>
      </c>
      <c r="B32" s="3" t="s">
        <v>52</v>
      </c>
      <c r="C32" s="3" t="s">
        <v>22</v>
      </c>
      <c r="D32" s="4" t="n">
        <v>0.8</v>
      </c>
      <c r="E32" s="4" t="n">
        <v>99</v>
      </c>
      <c r="F32" s="4" t="n">
        <v>4</v>
      </c>
      <c r="G32" s="4" t="n">
        <v>100</v>
      </c>
      <c r="H32" s="4" t="n">
        <v>0</v>
      </c>
      <c r="I32" s="5" t="n">
        <f aca="false">E32+G32</f>
        <v>199</v>
      </c>
      <c r="J32" s="4" t="n">
        <v>512</v>
      </c>
      <c r="K32" s="4" t="n">
        <v>388</v>
      </c>
      <c r="L32" s="5" t="n">
        <f aca="false">K32-J32</f>
        <v>-124</v>
      </c>
      <c r="M32" s="4" t="n">
        <v>391</v>
      </c>
      <c r="N32" s="5" t="n">
        <f aca="false">M32-H32</f>
        <v>391</v>
      </c>
      <c r="O32" s="4" t="n">
        <v>780</v>
      </c>
      <c r="P32" s="4" t="n">
        <v>512</v>
      </c>
      <c r="Q32" s="6" t="n">
        <f aca="false">IFERROR(K32/J32,0)</f>
        <v>0.7578125</v>
      </c>
    </row>
    <row r="33" customFormat="false" ht="15" hidden="false" customHeight="false" outlineLevel="0" collapsed="false">
      <c r="A33" s="2" t="n">
        <v>10032</v>
      </c>
      <c r="B33" s="3" t="s">
        <v>53</v>
      </c>
      <c r="C33" s="3" t="s">
        <v>25</v>
      </c>
      <c r="D33" s="4" t="n">
        <v>1</v>
      </c>
      <c r="E33" s="4" t="n">
        <v>163</v>
      </c>
      <c r="F33" s="4" t="n">
        <v>0</v>
      </c>
      <c r="G33" s="4" t="n">
        <v>158</v>
      </c>
      <c r="H33" s="4" t="n">
        <v>16</v>
      </c>
      <c r="I33" s="5" t="n">
        <f aca="false">E33+G33</f>
        <v>321</v>
      </c>
      <c r="J33" s="4" t="n">
        <v>640</v>
      </c>
      <c r="K33" s="4" t="n">
        <v>649</v>
      </c>
      <c r="L33" s="5" t="n">
        <f aca="false">K33-J33</f>
        <v>9</v>
      </c>
      <c r="M33" s="4" t="n">
        <v>667</v>
      </c>
      <c r="N33" s="5" t="n">
        <f aca="false">M33-H33</f>
        <v>651</v>
      </c>
      <c r="O33" s="4" t="n">
        <v>1337</v>
      </c>
      <c r="P33" s="4" t="n">
        <v>640</v>
      </c>
      <c r="Q33" s="6" t="n">
        <f aca="false">IFERROR(K33/J33,0)</f>
        <v>1.0140625</v>
      </c>
    </row>
    <row r="34" customFormat="false" ht="15" hidden="false" customHeight="false" outlineLevel="0" collapsed="false">
      <c r="A34" s="2" t="n">
        <v>10033</v>
      </c>
      <c r="B34" s="3" t="s">
        <v>54</v>
      </c>
      <c r="C34" s="3" t="s">
        <v>18</v>
      </c>
      <c r="D34" s="4" t="n">
        <v>0.5</v>
      </c>
      <c r="E34" s="4" t="n">
        <v>80</v>
      </c>
      <c r="F34" s="4" t="n">
        <v>8</v>
      </c>
      <c r="G34" s="4" t="n">
        <v>83</v>
      </c>
      <c r="H34" s="4" t="n">
        <v>0</v>
      </c>
      <c r="I34" s="5" t="n">
        <f aca="false">E34+G34</f>
        <v>163</v>
      </c>
      <c r="J34" s="4" t="n">
        <v>320</v>
      </c>
      <c r="K34" s="4" t="n">
        <v>340</v>
      </c>
      <c r="L34" s="5" t="n">
        <f aca="false">K34-J34</f>
        <v>20</v>
      </c>
      <c r="M34" s="4" t="n">
        <v>334</v>
      </c>
      <c r="N34" s="5" t="n">
        <f aca="false">M34-H34</f>
        <v>334</v>
      </c>
      <c r="O34" s="4" t="n">
        <v>713</v>
      </c>
      <c r="P34" s="4" t="n">
        <v>320</v>
      </c>
      <c r="Q34" s="6" t="n">
        <f aca="false">IFERROR(K34/J34,0)</f>
        <v>1.0625</v>
      </c>
    </row>
    <row r="35" customFormat="false" ht="15" hidden="false" customHeight="false" outlineLevel="0" collapsed="false">
      <c r="A35" s="2" t="n">
        <v>10034</v>
      </c>
      <c r="B35" s="3" t="s">
        <v>55</v>
      </c>
      <c r="C35" s="3" t="s">
        <v>31</v>
      </c>
      <c r="D35" s="4" t="n">
        <v>0.75</v>
      </c>
      <c r="E35" s="4" t="n">
        <v>117</v>
      </c>
      <c r="F35" s="4" t="n">
        <v>4</v>
      </c>
      <c r="G35" s="4" t="n">
        <v>122</v>
      </c>
      <c r="H35" s="4" t="n">
        <v>0</v>
      </c>
      <c r="I35" s="5" t="n">
        <f aca="false">E35+G35</f>
        <v>239</v>
      </c>
      <c r="J35" s="4" t="n">
        <v>480</v>
      </c>
      <c r="K35" s="4" t="n">
        <v>478</v>
      </c>
      <c r="L35" s="5" t="n">
        <f aca="false">K35-J35</f>
        <v>-2</v>
      </c>
      <c r="M35" s="4" t="n">
        <v>486</v>
      </c>
      <c r="N35" s="5" t="n">
        <f aca="false">M35-H35</f>
        <v>486</v>
      </c>
      <c r="O35" s="4" t="n">
        <v>987</v>
      </c>
      <c r="P35" s="4" t="n">
        <v>480</v>
      </c>
      <c r="Q35" s="6" t="n">
        <f aca="false">IFERROR(K35/J35,0)</f>
        <v>0.995833333333333</v>
      </c>
    </row>
    <row r="36" customFormat="false" ht="15" hidden="false" customHeight="false" outlineLevel="0" collapsed="false">
      <c r="A36" s="2" t="n">
        <v>10035</v>
      </c>
      <c r="B36" s="3" t="s">
        <v>56</v>
      </c>
      <c r="C36" s="3" t="s">
        <v>18</v>
      </c>
      <c r="D36" s="4" t="n">
        <v>1</v>
      </c>
      <c r="E36" s="4" t="n">
        <v>116</v>
      </c>
      <c r="F36" s="4" t="n">
        <v>0</v>
      </c>
      <c r="G36" s="4" t="n">
        <v>109</v>
      </c>
      <c r="H36" s="4" t="n">
        <v>16</v>
      </c>
      <c r="I36" s="5" t="n">
        <f aca="false">E36+G36</f>
        <v>225</v>
      </c>
      <c r="J36" s="4" t="n">
        <v>640</v>
      </c>
      <c r="K36" s="4" t="n">
        <v>468</v>
      </c>
      <c r="L36" s="5" t="n">
        <f aca="false">K36-J36</f>
        <v>-172</v>
      </c>
      <c r="M36" s="4" t="n">
        <v>474</v>
      </c>
      <c r="N36" s="5" t="n">
        <f aca="false">M36-H36</f>
        <v>458</v>
      </c>
      <c r="O36" s="4" t="n">
        <v>982</v>
      </c>
      <c r="P36" s="4" t="n">
        <v>640</v>
      </c>
      <c r="Q36" s="6" t="n">
        <f aca="false">IFERROR(K36/J36,0)</f>
        <v>0.73125</v>
      </c>
    </row>
    <row r="37" customFormat="false" ht="15" hidden="false" customHeight="false" outlineLevel="0" collapsed="false">
      <c r="A37" s="2" t="n">
        <v>10036</v>
      </c>
      <c r="B37" s="3" t="s">
        <v>57</v>
      </c>
      <c r="C37" s="3" t="s">
        <v>25</v>
      </c>
      <c r="D37" s="4" t="n">
        <v>0.75</v>
      </c>
      <c r="E37" s="4" t="n">
        <v>139</v>
      </c>
      <c r="F37" s="4" t="n">
        <v>4</v>
      </c>
      <c r="G37" s="4" t="n">
        <v>131</v>
      </c>
      <c r="H37" s="4" t="n">
        <v>0</v>
      </c>
      <c r="I37" s="5" t="n">
        <f aca="false">E37+G37</f>
        <v>270</v>
      </c>
      <c r="J37" s="4" t="n">
        <v>480</v>
      </c>
      <c r="K37" s="4" t="n">
        <v>535</v>
      </c>
      <c r="L37" s="5" t="n">
        <f aca="false">K37-J37</f>
        <v>55</v>
      </c>
      <c r="M37" s="4" t="n">
        <v>531</v>
      </c>
      <c r="N37" s="5" t="n">
        <f aca="false">M37-H37</f>
        <v>531</v>
      </c>
      <c r="O37" s="4" t="n">
        <v>1063</v>
      </c>
      <c r="P37" s="4" t="n">
        <v>480</v>
      </c>
      <c r="Q37" s="6" t="n">
        <f aca="false">IFERROR(K37/J37,0)</f>
        <v>1.11458333333333</v>
      </c>
    </row>
    <row r="38" customFormat="false" ht="15" hidden="false" customHeight="false" outlineLevel="0" collapsed="false">
      <c r="A38" s="2" t="n">
        <v>10037</v>
      </c>
      <c r="B38" s="3" t="s">
        <v>58</v>
      </c>
      <c r="C38" s="3" t="s">
        <v>20</v>
      </c>
      <c r="D38" s="4" t="n">
        <v>0.5</v>
      </c>
      <c r="E38" s="4" t="n">
        <v>72</v>
      </c>
      <c r="F38" s="4" t="n">
        <v>12</v>
      </c>
      <c r="G38" s="4" t="n">
        <v>74</v>
      </c>
      <c r="H38" s="4" t="n">
        <v>0</v>
      </c>
      <c r="I38" s="5" t="n">
        <f aca="false">E38+G38</f>
        <v>146</v>
      </c>
      <c r="J38" s="4" t="n">
        <v>320</v>
      </c>
      <c r="K38" s="4" t="n">
        <v>304</v>
      </c>
      <c r="L38" s="5" t="n">
        <f aca="false">K38-J38</f>
        <v>-16</v>
      </c>
      <c r="M38" s="4" t="n">
        <v>300</v>
      </c>
      <c r="N38" s="5" t="n">
        <f aca="false">M38-H38</f>
        <v>300</v>
      </c>
      <c r="O38" s="4" t="n">
        <v>610</v>
      </c>
      <c r="P38" s="4" t="n">
        <v>320</v>
      </c>
      <c r="Q38" s="6" t="n">
        <f aca="false">IFERROR(K38/J38,0)</f>
        <v>0.95</v>
      </c>
    </row>
    <row r="39" customFormat="false" ht="15" hidden="false" customHeight="false" outlineLevel="0" collapsed="false">
      <c r="A39" s="2" t="n">
        <v>10038</v>
      </c>
      <c r="B39" s="3" t="s">
        <v>59</v>
      </c>
      <c r="C39" s="3" t="s">
        <v>18</v>
      </c>
      <c r="D39" s="4" t="n">
        <v>1</v>
      </c>
      <c r="E39" s="4" t="n">
        <v>129</v>
      </c>
      <c r="F39" s="4" t="n">
        <v>4</v>
      </c>
      <c r="G39" s="4" t="n">
        <v>132</v>
      </c>
      <c r="H39" s="4" t="n">
        <v>30</v>
      </c>
      <c r="I39" s="5" t="n">
        <f aca="false">E39+G39</f>
        <v>261</v>
      </c>
      <c r="J39" s="4" t="n">
        <v>640</v>
      </c>
      <c r="K39" s="4" t="n">
        <v>496</v>
      </c>
      <c r="L39" s="5" t="n">
        <f aca="false">K39-J39</f>
        <v>-144</v>
      </c>
      <c r="M39" s="4" t="n">
        <v>487</v>
      </c>
      <c r="N39" s="5" t="n">
        <f aca="false">M39-H39</f>
        <v>457</v>
      </c>
      <c r="O39" s="4" t="n">
        <v>1033</v>
      </c>
      <c r="P39" s="4" t="n">
        <v>640</v>
      </c>
      <c r="Q39" s="6" t="n">
        <f aca="false">IFERROR(K39/J39,0)</f>
        <v>0.775</v>
      </c>
    </row>
    <row r="40" customFormat="false" ht="15" hidden="false" customHeight="false" outlineLevel="0" collapsed="false">
      <c r="A40" s="2" t="n">
        <v>10039</v>
      </c>
      <c r="B40" s="3" t="s">
        <v>60</v>
      </c>
      <c r="C40" s="3" t="s">
        <v>20</v>
      </c>
      <c r="D40" s="4" t="n">
        <v>1</v>
      </c>
      <c r="E40" s="4" t="n">
        <v>186</v>
      </c>
      <c r="F40" s="4" t="n">
        <v>4</v>
      </c>
      <c r="G40" s="4" t="n">
        <v>185</v>
      </c>
      <c r="H40" s="4" t="n">
        <v>16</v>
      </c>
      <c r="I40" s="5" t="n">
        <f aca="false">E40+G40</f>
        <v>371</v>
      </c>
      <c r="J40" s="4" t="n">
        <v>640</v>
      </c>
      <c r="K40" s="4" t="n">
        <v>704</v>
      </c>
      <c r="L40" s="5" t="n">
        <f aca="false">K40-J40</f>
        <v>64</v>
      </c>
      <c r="M40" s="4" t="n">
        <v>722</v>
      </c>
      <c r="N40" s="5" t="n">
        <f aca="false">M40-H40</f>
        <v>706</v>
      </c>
      <c r="O40" s="4" t="n">
        <v>1424</v>
      </c>
      <c r="P40" s="4" t="n">
        <v>640</v>
      </c>
      <c r="Q40" s="6" t="n">
        <f aca="false">IFERROR(K40/J40,0)</f>
        <v>1.1</v>
      </c>
    </row>
    <row r="41" customFormat="false" ht="15" hidden="false" customHeight="false" outlineLevel="0" collapsed="false">
      <c r="A41" s="2" t="n">
        <v>10040</v>
      </c>
      <c r="B41" s="3" t="s">
        <v>61</v>
      </c>
      <c r="C41" s="3" t="s">
        <v>25</v>
      </c>
      <c r="D41" s="4" t="n">
        <v>1</v>
      </c>
      <c r="E41" s="4" t="n">
        <v>174</v>
      </c>
      <c r="F41" s="4" t="n">
        <v>16</v>
      </c>
      <c r="G41" s="4" t="n">
        <v>163</v>
      </c>
      <c r="H41" s="4" t="n">
        <v>0</v>
      </c>
      <c r="I41" s="5" t="n">
        <f aca="false">E41+G41</f>
        <v>337</v>
      </c>
      <c r="J41" s="4" t="n">
        <v>640</v>
      </c>
      <c r="K41" s="4" t="n">
        <v>640</v>
      </c>
      <c r="L41" s="5" t="n">
        <f aca="false">K41-J41</f>
        <v>0</v>
      </c>
      <c r="M41" s="4" t="n">
        <v>656</v>
      </c>
      <c r="N41" s="5" t="n">
        <f aca="false">M41-H41</f>
        <v>656</v>
      </c>
      <c r="O41" s="4" t="n">
        <v>1305</v>
      </c>
      <c r="P41" s="4" t="n">
        <v>640</v>
      </c>
      <c r="Q41" s="6" t="n">
        <f aca="false">IFERROR(K41/J41,0)</f>
        <v>1</v>
      </c>
    </row>
    <row r="42" customFormat="false" ht="15" hidden="false" customHeight="false" outlineLevel="0" collapsed="false">
      <c r="A42" s="2" t="n">
        <v>10041</v>
      </c>
      <c r="B42" s="3" t="s">
        <v>62</v>
      </c>
      <c r="C42" s="3" t="s">
        <v>20</v>
      </c>
      <c r="D42" s="4" t="n">
        <v>0.8</v>
      </c>
      <c r="E42" s="4" t="n">
        <v>117</v>
      </c>
      <c r="F42" s="4" t="n">
        <v>4</v>
      </c>
      <c r="G42" s="4" t="n">
        <v>121</v>
      </c>
      <c r="H42" s="4" t="n">
        <v>0</v>
      </c>
      <c r="I42" s="5" t="n">
        <f aca="false">E42+G42</f>
        <v>238</v>
      </c>
      <c r="J42" s="4" t="n">
        <v>512</v>
      </c>
      <c r="K42" s="4" t="n">
        <v>499</v>
      </c>
      <c r="L42" s="5" t="n">
        <f aca="false">K42-J42</f>
        <v>-13</v>
      </c>
      <c r="M42" s="4" t="n">
        <v>508</v>
      </c>
      <c r="N42" s="5" t="n">
        <f aca="false">M42-H42</f>
        <v>508</v>
      </c>
      <c r="O42" s="4" t="n">
        <v>1035</v>
      </c>
      <c r="P42" s="4" t="n">
        <v>512</v>
      </c>
      <c r="Q42" s="6" t="n">
        <f aca="false">IFERROR(K42/J42,0)</f>
        <v>0.974609375</v>
      </c>
    </row>
    <row r="43" customFormat="false" ht="15" hidden="false" customHeight="false" outlineLevel="0" collapsed="false">
      <c r="A43" s="2" t="n">
        <v>10042</v>
      </c>
      <c r="B43" s="3" t="s">
        <v>63</v>
      </c>
      <c r="C43" s="3" t="s">
        <v>18</v>
      </c>
      <c r="D43" s="4" t="n">
        <v>1</v>
      </c>
      <c r="E43" s="4" t="n">
        <v>129</v>
      </c>
      <c r="F43" s="4" t="n">
        <v>0</v>
      </c>
      <c r="G43" s="4" t="n">
        <v>120</v>
      </c>
      <c r="H43" s="4" t="n">
        <v>0</v>
      </c>
      <c r="I43" s="5" t="n">
        <f aca="false">E43+G43</f>
        <v>249</v>
      </c>
      <c r="J43" s="4" t="n">
        <v>640</v>
      </c>
      <c r="K43" s="4" t="n">
        <v>534</v>
      </c>
      <c r="L43" s="5" t="n">
        <f aca="false">K43-J43</f>
        <v>-106</v>
      </c>
      <c r="M43" s="4" t="n">
        <v>530</v>
      </c>
      <c r="N43" s="5" t="n">
        <f aca="false">M43-H43</f>
        <v>530</v>
      </c>
      <c r="O43" s="4" t="n">
        <v>1109</v>
      </c>
      <c r="P43" s="4" t="n">
        <v>640</v>
      </c>
      <c r="Q43" s="6" t="n">
        <f aca="false">IFERROR(K43/J43,0)</f>
        <v>0.834375</v>
      </c>
    </row>
    <row r="44" customFormat="false" ht="15" hidden="false" customHeight="false" outlineLevel="0" collapsed="false">
      <c r="A44" s="2" t="n">
        <v>10043</v>
      </c>
      <c r="B44" s="3" t="s">
        <v>64</v>
      </c>
      <c r="C44" s="3" t="s">
        <v>20</v>
      </c>
      <c r="D44" s="4" t="n">
        <v>1</v>
      </c>
      <c r="E44" s="4" t="n">
        <v>142</v>
      </c>
      <c r="F44" s="4" t="n">
        <v>0</v>
      </c>
      <c r="G44" s="4" t="n">
        <v>145</v>
      </c>
      <c r="H44" s="4" t="n">
        <v>40</v>
      </c>
      <c r="I44" s="5" t="n">
        <f aca="false">E44+G44</f>
        <v>287</v>
      </c>
      <c r="J44" s="4" t="n">
        <v>640</v>
      </c>
      <c r="K44" s="4" t="n">
        <v>598</v>
      </c>
      <c r="L44" s="5" t="n">
        <f aca="false">K44-J44</f>
        <v>-42</v>
      </c>
      <c r="M44" s="4" t="n">
        <v>608</v>
      </c>
      <c r="N44" s="5" t="n">
        <f aca="false">M44-H44</f>
        <v>568</v>
      </c>
      <c r="O44" s="4" t="n">
        <v>1236</v>
      </c>
      <c r="P44" s="4" t="n">
        <v>640</v>
      </c>
      <c r="Q44" s="6" t="n">
        <f aca="false">IFERROR(K44/J44,0)</f>
        <v>0.934375</v>
      </c>
    </row>
    <row r="45" customFormat="false" ht="15" hidden="false" customHeight="false" outlineLevel="0" collapsed="false">
      <c r="A45" s="2" t="n">
        <v>10044</v>
      </c>
      <c r="B45" s="3" t="s">
        <v>65</v>
      </c>
      <c r="C45" s="3" t="s">
        <v>22</v>
      </c>
      <c r="D45" s="4" t="n">
        <v>0.6</v>
      </c>
      <c r="E45" s="4" t="n">
        <v>109</v>
      </c>
      <c r="F45" s="4" t="n">
        <v>0</v>
      </c>
      <c r="G45" s="4" t="n">
        <v>106</v>
      </c>
      <c r="H45" s="4" t="n">
        <v>16</v>
      </c>
      <c r="I45" s="5" t="n">
        <f aca="false">E45+G45</f>
        <v>215</v>
      </c>
      <c r="J45" s="4" t="n">
        <v>384</v>
      </c>
      <c r="K45" s="4" t="n">
        <v>437</v>
      </c>
      <c r="L45" s="5" t="n">
        <f aca="false">K45-J45</f>
        <v>53</v>
      </c>
      <c r="M45" s="4" t="n">
        <v>442</v>
      </c>
      <c r="N45" s="5" t="n">
        <f aca="false">M45-H45</f>
        <v>426</v>
      </c>
      <c r="O45" s="4" t="n">
        <v>859</v>
      </c>
      <c r="P45" s="4" t="n">
        <v>384</v>
      </c>
      <c r="Q45" s="6" t="n">
        <f aca="false">IFERROR(K45/J45,0)</f>
        <v>1.13802083333333</v>
      </c>
    </row>
    <row r="46" customFormat="false" ht="15" hidden="false" customHeight="false" outlineLevel="0" collapsed="false">
      <c r="A46" s="2" t="n">
        <v>10045</v>
      </c>
      <c r="B46" s="3" t="s">
        <v>66</v>
      </c>
      <c r="C46" s="3" t="s">
        <v>20</v>
      </c>
      <c r="D46" s="4" t="n">
        <v>0.6</v>
      </c>
      <c r="E46" s="4" t="n">
        <v>83</v>
      </c>
      <c r="F46" s="4" t="n">
        <v>0</v>
      </c>
      <c r="G46" s="4" t="n">
        <v>80</v>
      </c>
      <c r="H46" s="4" t="n">
        <v>8</v>
      </c>
      <c r="I46" s="5" t="n">
        <f aca="false">E46+G46</f>
        <v>163</v>
      </c>
      <c r="J46" s="4" t="n">
        <v>384</v>
      </c>
      <c r="K46" s="4" t="n">
        <v>324</v>
      </c>
      <c r="L46" s="5" t="n">
        <f aca="false">K46-J46</f>
        <v>-60</v>
      </c>
      <c r="M46" s="4" t="n">
        <v>318</v>
      </c>
      <c r="N46" s="5" t="n">
        <f aca="false">M46-H46</f>
        <v>310</v>
      </c>
      <c r="O46" s="4" t="n">
        <v>652</v>
      </c>
      <c r="P46" s="4" t="n">
        <v>384</v>
      </c>
      <c r="Q46" s="6" t="n">
        <f aca="false">IFERROR(K46/J46,0)</f>
        <v>0.84375</v>
      </c>
    </row>
    <row r="47" customFormat="false" ht="15" hidden="false" customHeight="false" outlineLevel="0" collapsed="false">
      <c r="A47" s="2" t="n">
        <v>10046</v>
      </c>
      <c r="B47" s="3" t="s">
        <v>67</v>
      </c>
      <c r="C47" s="3" t="s">
        <v>20</v>
      </c>
      <c r="D47" s="4" t="n">
        <v>0.8</v>
      </c>
      <c r="E47" s="4" t="n">
        <v>141</v>
      </c>
      <c r="F47" s="4" t="n">
        <v>0</v>
      </c>
      <c r="G47" s="4" t="n">
        <v>130</v>
      </c>
      <c r="H47" s="4" t="n">
        <v>16</v>
      </c>
      <c r="I47" s="5" t="n">
        <f aca="false">E47+G47</f>
        <v>271</v>
      </c>
      <c r="J47" s="4" t="n">
        <v>512</v>
      </c>
      <c r="K47" s="4" t="n">
        <v>522</v>
      </c>
      <c r="L47" s="5" t="n">
        <f aca="false">K47-J47</f>
        <v>10</v>
      </c>
      <c r="M47" s="4" t="n">
        <v>526</v>
      </c>
      <c r="N47" s="5" t="n">
        <f aca="false">M47-H47</f>
        <v>510</v>
      </c>
      <c r="O47" s="4" t="n">
        <v>1056</v>
      </c>
      <c r="P47" s="4" t="n">
        <v>512</v>
      </c>
      <c r="Q47" s="6" t="n">
        <f aca="false">IFERROR(K47/J47,0)</f>
        <v>1.01953125</v>
      </c>
    </row>
    <row r="48" customFormat="false" ht="15" hidden="false" customHeight="false" outlineLevel="0" collapsed="false">
      <c r="A48" s="2" t="n">
        <v>10047</v>
      </c>
      <c r="B48" s="3" t="s">
        <v>68</v>
      </c>
      <c r="C48" s="3" t="s">
        <v>20</v>
      </c>
      <c r="D48" s="4" t="n">
        <v>1</v>
      </c>
      <c r="E48" s="4" t="n">
        <v>123</v>
      </c>
      <c r="F48" s="4" t="n">
        <v>0</v>
      </c>
      <c r="G48" s="4" t="n">
        <v>118</v>
      </c>
      <c r="H48" s="4" t="n">
        <v>8</v>
      </c>
      <c r="I48" s="5" t="n">
        <f aca="false">E48+G48</f>
        <v>241</v>
      </c>
      <c r="J48" s="4" t="n">
        <v>640</v>
      </c>
      <c r="K48" s="4" t="n">
        <v>485</v>
      </c>
      <c r="L48" s="5" t="n">
        <f aca="false">K48-J48</f>
        <v>-155</v>
      </c>
      <c r="M48" s="4" t="n">
        <v>483</v>
      </c>
      <c r="N48" s="5" t="n">
        <f aca="false">M48-H48</f>
        <v>475</v>
      </c>
      <c r="O48" s="4" t="n">
        <v>982</v>
      </c>
      <c r="P48" s="4" t="n">
        <v>640</v>
      </c>
      <c r="Q48" s="6" t="n">
        <f aca="false">IFERROR(K48/J48,0)</f>
        <v>0.7578125</v>
      </c>
    </row>
    <row r="49" customFormat="false" ht="15" hidden="false" customHeight="false" outlineLevel="0" collapsed="false">
      <c r="A49" s="2" t="n">
        <v>10048</v>
      </c>
      <c r="B49" s="3" t="s">
        <v>69</v>
      </c>
      <c r="C49" s="3" t="s">
        <v>18</v>
      </c>
      <c r="D49" s="4" t="n">
        <v>1</v>
      </c>
      <c r="E49" s="4" t="n">
        <v>162</v>
      </c>
      <c r="F49" s="4" t="n">
        <v>0</v>
      </c>
      <c r="G49" s="4" t="n">
        <v>161</v>
      </c>
      <c r="H49" s="4" t="n">
        <v>0</v>
      </c>
      <c r="I49" s="5" t="n">
        <f aca="false">E49+G49</f>
        <v>323</v>
      </c>
      <c r="J49" s="4" t="n">
        <v>640</v>
      </c>
      <c r="K49" s="4" t="n">
        <v>609</v>
      </c>
      <c r="L49" s="5" t="n">
        <f aca="false">K49-J49</f>
        <v>-31</v>
      </c>
      <c r="M49" s="4" t="n">
        <v>604</v>
      </c>
      <c r="N49" s="5" t="n">
        <f aca="false">M49-H49</f>
        <v>604</v>
      </c>
      <c r="O49" s="4" t="n">
        <v>1225</v>
      </c>
      <c r="P49" s="4" t="n">
        <v>640</v>
      </c>
      <c r="Q49" s="6" t="n">
        <f aca="false">IFERROR(K49/J49,0)</f>
        <v>0.9515625</v>
      </c>
    </row>
    <row r="50" customFormat="false" ht="15" hidden="false" customHeight="false" outlineLevel="0" collapsed="false">
      <c r="A50" s="2" t="n">
        <v>10049</v>
      </c>
      <c r="B50" s="3" t="s">
        <v>70</v>
      </c>
      <c r="C50" s="3" t="s">
        <v>20</v>
      </c>
      <c r="D50" s="4" t="n">
        <v>0.75</v>
      </c>
      <c r="E50" s="4" t="n">
        <v>95</v>
      </c>
      <c r="F50" s="4" t="n">
        <v>0</v>
      </c>
      <c r="G50" s="4" t="n">
        <v>92</v>
      </c>
      <c r="H50" s="4" t="n">
        <v>8</v>
      </c>
      <c r="I50" s="5" t="n">
        <f aca="false">E50+G50</f>
        <v>187</v>
      </c>
      <c r="J50" s="4" t="n">
        <v>480</v>
      </c>
      <c r="K50" s="4" t="n">
        <v>392</v>
      </c>
      <c r="L50" s="5" t="n">
        <f aca="false">K50-J50</f>
        <v>-88</v>
      </c>
      <c r="M50" s="4" t="n">
        <v>393</v>
      </c>
      <c r="N50" s="5" t="n">
        <f aca="false">M50-H50</f>
        <v>385</v>
      </c>
      <c r="O50" s="4" t="n">
        <v>796</v>
      </c>
      <c r="P50" s="4" t="n">
        <v>480</v>
      </c>
      <c r="Q50" s="6" t="n">
        <f aca="false">IFERROR(K50/J50,0)</f>
        <v>0.816666666666667</v>
      </c>
    </row>
    <row r="51" customFormat="false" ht="15" hidden="false" customHeight="false" outlineLevel="0" collapsed="false">
      <c r="A51" s="2" t="n">
        <v>10050</v>
      </c>
      <c r="B51" s="3" t="s">
        <v>71</v>
      </c>
      <c r="C51" s="3" t="s">
        <v>25</v>
      </c>
      <c r="D51" s="4" t="n">
        <v>0.75</v>
      </c>
      <c r="E51" s="4" t="n">
        <v>85</v>
      </c>
      <c r="F51" s="4" t="n">
        <v>4</v>
      </c>
      <c r="G51" s="4" t="n">
        <v>84</v>
      </c>
      <c r="H51" s="4" t="n">
        <v>0</v>
      </c>
      <c r="I51" s="5" t="n">
        <f aca="false">E51+G51</f>
        <v>169</v>
      </c>
      <c r="J51" s="4" t="n">
        <v>480</v>
      </c>
      <c r="K51" s="4" t="n">
        <v>359</v>
      </c>
      <c r="L51" s="5" t="n">
        <f aca="false">K51-J51</f>
        <v>-121</v>
      </c>
      <c r="M51" s="4" t="n">
        <v>356</v>
      </c>
      <c r="N51" s="5" t="n">
        <f aca="false">M51-H51</f>
        <v>356</v>
      </c>
      <c r="O51" s="4" t="n">
        <v>726</v>
      </c>
      <c r="P51" s="4" t="n">
        <v>480</v>
      </c>
      <c r="Q51" s="6" t="n">
        <f aca="false">IFERROR(K51/J51,0)</f>
        <v>0.747916666666667</v>
      </c>
    </row>
    <row r="52" customFormat="false" ht="15" hidden="false" customHeight="false" outlineLevel="0" collapsed="false">
      <c r="A52" s="2" t="n">
        <v>10051</v>
      </c>
      <c r="B52" s="3" t="s">
        <v>72</v>
      </c>
      <c r="C52" s="3" t="s">
        <v>20</v>
      </c>
      <c r="D52" s="4" t="n">
        <v>0.5</v>
      </c>
      <c r="E52" s="4" t="n">
        <v>62</v>
      </c>
      <c r="F52" s="4" t="n">
        <v>4</v>
      </c>
      <c r="G52" s="4" t="n">
        <v>64</v>
      </c>
      <c r="H52" s="4" t="n">
        <v>0</v>
      </c>
      <c r="I52" s="5" t="n">
        <f aca="false">E52+G52</f>
        <v>126</v>
      </c>
      <c r="J52" s="4" t="n">
        <v>320</v>
      </c>
      <c r="K52" s="4" t="n">
        <v>258</v>
      </c>
      <c r="L52" s="5" t="n">
        <f aca="false">K52-J52</f>
        <v>-62</v>
      </c>
      <c r="M52" s="4" t="n">
        <v>253</v>
      </c>
      <c r="N52" s="5" t="n">
        <f aca="false">M52-H52</f>
        <v>253</v>
      </c>
      <c r="O52" s="4" t="n">
        <v>505</v>
      </c>
      <c r="P52" s="4" t="n">
        <v>320</v>
      </c>
      <c r="Q52" s="6" t="n">
        <f aca="false">IFERROR(K52/J52,0)</f>
        <v>0.80625</v>
      </c>
    </row>
    <row r="53" customFormat="false" ht="15" hidden="false" customHeight="false" outlineLevel="0" collapsed="false">
      <c r="A53" s="2" t="n">
        <v>10052</v>
      </c>
      <c r="B53" s="3" t="s">
        <v>73</v>
      </c>
      <c r="C53" s="3" t="s">
        <v>20</v>
      </c>
      <c r="D53" s="4" t="n">
        <v>0.75</v>
      </c>
      <c r="E53" s="4" t="n">
        <v>112</v>
      </c>
      <c r="F53" s="4" t="n">
        <v>0</v>
      </c>
      <c r="G53" s="4" t="n">
        <v>103</v>
      </c>
      <c r="H53" s="4" t="n">
        <v>24</v>
      </c>
      <c r="I53" s="5" t="n">
        <f aca="false">E53+G53</f>
        <v>215</v>
      </c>
      <c r="J53" s="4" t="n">
        <v>480</v>
      </c>
      <c r="K53" s="4" t="n">
        <v>442</v>
      </c>
      <c r="L53" s="5" t="n">
        <f aca="false">K53-J53</f>
        <v>-38</v>
      </c>
      <c r="M53" s="4" t="n">
        <v>436</v>
      </c>
      <c r="N53" s="5" t="n">
        <f aca="false">M53-H53</f>
        <v>412</v>
      </c>
      <c r="O53" s="4" t="n">
        <v>866</v>
      </c>
      <c r="P53" s="4" t="n">
        <v>480</v>
      </c>
      <c r="Q53" s="6" t="n">
        <f aca="false">IFERROR(K53/J53,0)</f>
        <v>0.920833333333333</v>
      </c>
    </row>
    <row r="54" customFormat="false" ht="15" hidden="false" customHeight="false" outlineLevel="0" collapsed="false">
      <c r="A54" s="2" t="n">
        <v>10053</v>
      </c>
      <c r="B54" s="3" t="s">
        <v>74</v>
      </c>
      <c r="C54" s="3" t="s">
        <v>20</v>
      </c>
      <c r="D54" s="4" t="n">
        <v>1</v>
      </c>
      <c r="E54" s="4" t="n">
        <v>112</v>
      </c>
      <c r="F54" s="4" t="n">
        <v>0</v>
      </c>
      <c r="G54" s="4" t="n">
        <v>111</v>
      </c>
      <c r="H54" s="4" t="n">
        <v>8</v>
      </c>
      <c r="I54" s="5" t="n">
        <f aca="false">E54+G54</f>
        <v>223</v>
      </c>
      <c r="J54" s="4" t="n">
        <v>640</v>
      </c>
      <c r="K54" s="4" t="n">
        <v>465</v>
      </c>
      <c r="L54" s="5" t="n">
        <f aca="false">K54-J54</f>
        <v>-175</v>
      </c>
      <c r="M54" s="4" t="n">
        <v>470</v>
      </c>
      <c r="N54" s="5" t="n">
        <f aca="false">M54-H54</f>
        <v>462</v>
      </c>
      <c r="O54" s="4" t="n">
        <v>961</v>
      </c>
      <c r="P54" s="4" t="n">
        <v>640</v>
      </c>
      <c r="Q54" s="6" t="n">
        <f aca="false">IFERROR(K54/J54,0)</f>
        <v>0.7265625</v>
      </c>
    </row>
    <row r="55" customFormat="false" ht="15" hidden="false" customHeight="false" outlineLevel="0" collapsed="false">
      <c r="A55" s="2" t="n">
        <v>10054</v>
      </c>
      <c r="B55" s="3" t="s">
        <v>75</v>
      </c>
      <c r="C55" s="3" t="s">
        <v>20</v>
      </c>
      <c r="D55" s="4" t="n">
        <v>1</v>
      </c>
      <c r="E55" s="4" t="n">
        <v>172</v>
      </c>
      <c r="F55" s="4" t="n">
        <v>12</v>
      </c>
      <c r="G55" s="4" t="n">
        <v>166</v>
      </c>
      <c r="H55" s="4" t="n">
        <v>0</v>
      </c>
      <c r="I55" s="5" t="n">
        <f aca="false">E55+G55</f>
        <v>338</v>
      </c>
      <c r="J55" s="4" t="n">
        <v>640</v>
      </c>
      <c r="K55" s="4" t="n">
        <v>665</v>
      </c>
      <c r="L55" s="5" t="n">
        <f aca="false">K55-J55</f>
        <v>25</v>
      </c>
      <c r="M55" s="4" t="n">
        <v>659</v>
      </c>
      <c r="N55" s="5" t="n">
        <f aca="false">M55-H55</f>
        <v>659</v>
      </c>
      <c r="O55" s="4" t="n">
        <v>1363</v>
      </c>
      <c r="P55" s="4" t="n">
        <v>640</v>
      </c>
      <c r="Q55" s="6" t="n">
        <f aca="false">IFERROR(K55/J55,0)</f>
        <v>1.0390625</v>
      </c>
    </row>
    <row r="56" customFormat="false" ht="15" hidden="false" customHeight="false" outlineLevel="0" collapsed="false">
      <c r="A56" s="2" t="n">
        <v>10055</v>
      </c>
      <c r="B56" s="3" t="s">
        <v>76</v>
      </c>
      <c r="C56" s="3" t="s">
        <v>20</v>
      </c>
      <c r="D56" s="4" t="n">
        <v>0.5</v>
      </c>
      <c r="E56" s="4" t="n">
        <v>70</v>
      </c>
      <c r="F56" s="4" t="n">
        <v>4</v>
      </c>
      <c r="G56" s="4" t="n">
        <v>73</v>
      </c>
      <c r="H56" s="4" t="n">
        <v>16</v>
      </c>
      <c r="I56" s="5" t="n">
        <f aca="false">E56+G56</f>
        <v>143</v>
      </c>
      <c r="J56" s="4" t="n">
        <v>320</v>
      </c>
      <c r="K56" s="4" t="n">
        <v>295</v>
      </c>
      <c r="L56" s="5" t="n">
        <f aca="false">K56-J56</f>
        <v>-25</v>
      </c>
      <c r="M56" s="4" t="n">
        <v>296</v>
      </c>
      <c r="N56" s="5" t="n">
        <f aca="false">M56-H56</f>
        <v>280</v>
      </c>
      <c r="O56" s="4" t="n">
        <v>606</v>
      </c>
      <c r="P56" s="4" t="n">
        <v>320</v>
      </c>
      <c r="Q56" s="6" t="n">
        <f aca="false">IFERROR(K56/J56,0)</f>
        <v>0.921875</v>
      </c>
    </row>
    <row r="57" customFormat="false" ht="15" hidden="false" customHeight="false" outlineLevel="0" collapsed="false">
      <c r="A57" s="2" t="n">
        <v>10056</v>
      </c>
      <c r="B57" s="3" t="s">
        <v>77</v>
      </c>
      <c r="C57" s="3" t="s">
        <v>20</v>
      </c>
      <c r="D57" s="4" t="n">
        <v>1</v>
      </c>
      <c r="E57" s="4" t="n">
        <v>184</v>
      </c>
      <c r="F57" s="4" t="n">
        <v>0</v>
      </c>
      <c r="G57" s="4" t="n">
        <v>198</v>
      </c>
      <c r="H57" s="4" t="n">
        <v>0</v>
      </c>
      <c r="I57" s="5" t="n">
        <f aca="false">E57+G57</f>
        <v>382</v>
      </c>
      <c r="J57" s="4" t="n">
        <v>640</v>
      </c>
      <c r="K57" s="4" t="n">
        <v>726</v>
      </c>
      <c r="L57" s="5" t="n">
        <f aca="false">K57-J57</f>
        <v>86</v>
      </c>
      <c r="M57" s="4" t="n">
        <v>739</v>
      </c>
      <c r="N57" s="5" t="n">
        <f aca="false">M57-H57</f>
        <v>739</v>
      </c>
      <c r="O57" s="4" t="n">
        <v>1478</v>
      </c>
      <c r="P57" s="4" t="n">
        <v>640</v>
      </c>
      <c r="Q57" s="6" t="n">
        <f aca="false">IFERROR(K57/J57,0)</f>
        <v>1.134375</v>
      </c>
    </row>
    <row r="58" customFormat="false" ht="15" hidden="false" customHeight="false" outlineLevel="0" collapsed="false">
      <c r="A58" s="2" t="n">
        <v>10057</v>
      </c>
      <c r="B58" s="3" t="s">
        <v>78</v>
      </c>
      <c r="C58" s="3" t="s">
        <v>31</v>
      </c>
      <c r="D58" s="4" t="n">
        <v>0.75</v>
      </c>
      <c r="E58" s="4" t="n">
        <v>116</v>
      </c>
      <c r="F58" s="4" t="n">
        <v>0</v>
      </c>
      <c r="G58" s="4" t="n">
        <v>125</v>
      </c>
      <c r="H58" s="4" t="n">
        <v>0</v>
      </c>
      <c r="I58" s="5" t="n">
        <f aca="false">E58+G58</f>
        <v>241</v>
      </c>
      <c r="J58" s="4" t="n">
        <v>480</v>
      </c>
      <c r="K58" s="4" t="n">
        <v>482</v>
      </c>
      <c r="L58" s="5" t="n">
        <f aca="false">K58-J58</f>
        <v>2</v>
      </c>
      <c r="M58" s="4" t="n">
        <v>480</v>
      </c>
      <c r="N58" s="5" t="n">
        <f aca="false">M58-H58</f>
        <v>480</v>
      </c>
      <c r="O58" s="4" t="n">
        <v>958</v>
      </c>
      <c r="P58" s="4" t="n">
        <v>480</v>
      </c>
      <c r="Q58" s="6" t="n">
        <f aca="false">IFERROR(K58/J58,0)</f>
        <v>1.00416666666667</v>
      </c>
    </row>
    <row r="59" customFormat="false" ht="15" hidden="false" customHeight="false" outlineLevel="0" collapsed="false">
      <c r="A59" s="2" t="n">
        <v>10058</v>
      </c>
      <c r="B59" s="3" t="s">
        <v>79</v>
      </c>
      <c r="C59" s="3" t="s">
        <v>18</v>
      </c>
      <c r="D59" s="4" t="n">
        <v>0.6</v>
      </c>
      <c r="E59" s="4" t="n">
        <v>114</v>
      </c>
      <c r="F59" s="4" t="n">
        <v>0</v>
      </c>
      <c r="G59" s="4" t="n">
        <v>109</v>
      </c>
      <c r="H59" s="4" t="n">
        <v>0</v>
      </c>
      <c r="I59" s="5" t="n">
        <f aca="false">E59+G59</f>
        <v>223</v>
      </c>
      <c r="J59" s="4" t="n">
        <v>384</v>
      </c>
      <c r="K59" s="4" t="n">
        <v>441</v>
      </c>
      <c r="L59" s="5" t="n">
        <f aca="false">K59-J59</f>
        <v>57</v>
      </c>
      <c r="M59" s="4" t="n">
        <v>442</v>
      </c>
      <c r="N59" s="5" t="n">
        <f aca="false">M59-H59</f>
        <v>442</v>
      </c>
      <c r="O59" s="4" t="n">
        <v>878</v>
      </c>
      <c r="P59" s="4" t="n">
        <v>384</v>
      </c>
      <c r="Q59" s="6" t="n">
        <f aca="false">IFERROR(K59/J59,0)</f>
        <v>1.1484375</v>
      </c>
    </row>
    <row r="60" customFormat="false" ht="15" hidden="false" customHeight="false" outlineLevel="0" collapsed="false">
      <c r="A60" s="2" t="n">
        <v>10059</v>
      </c>
      <c r="B60" s="3" t="s">
        <v>80</v>
      </c>
      <c r="C60" s="3" t="s">
        <v>22</v>
      </c>
      <c r="D60" s="4" t="n">
        <v>0.75</v>
      </c>
      <c r="E60" s="4" t="n">
        <v>107</v>
      </c>
      <c r="F60" s="4" t="n">
        <v>0</v>
      </c>
      <c r="G60" s="4" t="n">
        <v>113</v>
      </c>
      <c r="H60" s="4" t="n">
        <v>0</v>
      </c>
      <c r="I60" s="5" t="n">
        <f aca="false">E60+G60</f>
        <v>220</v>
      </c>
      <c r="J60" s="4" t="n">
        <v>480</v>
      </c>
      <c r="K60" s="4" t="n">
        <v>469</v>
      </c>
      <c r="L60" s="5" t="n">
        <f aca="false">K60-J60</f>
        <v>-11</v>
      </c>
      <c r="M60" s="4" t="n">
        <v>475</v>
      </c>
      <c r="N60" s="5" t="n">
        <f aca="false">M60-H60</f>
        <v>475</v>
      </c>
      <c r="O60" s="4" t="n">
        <v>943</v>
      </c>
      <c r="P60" s="4" t="n">
        <v>480</v>
      </c>
      <c r="Q60" s="6" t="n">
        <f aca="false">IFERROR(K60/J60,0)</f>
        <v>0.977083333333333</v>
      </c>
    </row>
    <row r="61" customFormat="false" ht="15" hidden="false" customHeight="false" outlineLevel="0" collapsed="false">
      <c r="A61" s="2" t="n">
        <v>10060</v>
      </c>
      <c r="B61" s="3" t="s">
        <v>81</v>
      </c>
      <c r="C61" s="3" t="s">
        <v>18</v>
      </c>
      <c r="D61" s="4" t="n">
        <v>0.75</v>
      </c>
      <c r="E61" s="4" t="n">
        <v>124</v>
      </c>
      <c r="F61" s="4" t="n">
        <v>0</v>
      </c>
      <c r="G61" s="4" t="n">
        <v>117</v>
      </c>
      <c r="H61" s="4" t="n">
        <v>24</v>
      </c>
      <c r="I61" s="5" t="n">
        <f aca="false">E61+G61</f>
        <v>241</v>
      </c>
      <c r="J61" s="4" t="n">
        <v>480</v>
      </c>
      <c r="K61" s="4" t="n">
        <v>456</v>
      </c>
      <c r="L61" s="5" t="n">
        <f aca="false">K61-J61</f>
        <v>-24</v>
      </c>
      <c r="M61" s="4" t="n">
        <v>457</v>
      </c>
      <c r="N61" s="5" t="n">
        <f aca="false">M61-H61</f>
        <v>433</v>
      </c>
      <c r="O61" s="4" t="n">
        <v>893</v>
      </c>
      <c r="P61" s="4" t="n">
        <v>480</v>
      </c>
      <c r="Q61" s="6" t="n">
        <f aca="false">IFERROR(K61/J61,0)</f>
        <v>0.95</v>
      </c>
    </row>
    <row r="62" customFormat="false" ht="15" hidden="false" customHeight="false" outlineLevel="0" collapsed="false">
      <c r="A62" s="2" t="n">
        <v>10061</v>
      </c>
      <c r="B62" s="3" t="s">
        <v>82</v>
      </c>
      <c r="C62" s="3" t="s">
        <v>20</v>
      </c>
      <c r="D62" s="4" t="n">
        <v>0.75</v>
      </c>
      <c r="E62" s="4" t="n">
        <v>129</v>
      </c>
      <c r="F62" s="4" t="n">
        <v>4</v>
      </c>
      <c r="G62" s="4" t="n">
        <v>130</v>
      </c>
      <c r="H62" s="4" t="n">
        <v>0</v>
      </c>
      <c r="I62" s="5" t="n">
        <f aca="false">E62+G62</f>
        <v>259</v>
      </c>
      <c r="J62" s="4" t="n">
        <v>480</v>
      </c>
      <c r="K62" s="4" t="n">
        <v>485</v>
      </c>
      <c r="L62" s="5" t="n">
        <f aca="false">K62-J62</f>
        <v>5</v>
      </c>
      <c r="M62" s="4" t="n">
        <v>499</v>
      </c>
      <c r="N62" s="5" t="n">
        <f aca="false">M62-H62</f>
        <v>499</v>
      </c>
      <c r="O62" s="4" t="n">
        <v>990</v>
      </c>
      <c r="P62" s="4" t="n">
        <v>480</v>
      </c>
      <c r="Q62" s="6" t="n">
        <f aca="false">IFERROR(K62/J62,0)</f>
        <v>1.01041666666667</v>
      </c>
    </row>
    <row r="63" customFormat="false" ht="15" hidden="false" customHeight="false" outlineLevel="0" collapsed="false">
      <c r="A63" s="2" t="n">
        <v>10062</v>
      </c>
      <c r="B63" s="3" t="s">
        <v>83</v>
      </c>
      <c r="C63" s="3" t="s">
        <v>18</v>
      </c>
      <c r="D63" s="4" t="n">
        <v>1</v>
      </c>
      <c r="E63" s="4" t="n">
        <v>180</v>
      </c>
      <c r="F63" s="4" t="n">
        <v>0</v>
      </c>
      <c r="G63" s="4" t="n">
        <v>182</v>
      </c>
      <c r="H63" s="4" t="n">
        <v>24</v>
      </c>
      <c r="I63" s="5" t="n">
        <f aca="false">E63+G63</f>
        <v>362</v>
      </c>
      <c r="J63" s="4" t="n">
        <v>640</v>
      </c>
      <c r="K63" s="4" t="n">
        <v>680</v>
      </c>
      <c r="L63" s="5" t="n">
        <f aca="false">K63-J63</f>
        <v>40</v>
      </c>
      <c r="M63" s="4" t="n">
        <v>683</v>
      </c>
      <c r="N63" s="5" t="n">
        <f aca="false">M63-H63</f>
        <v>659</v>
      </c>
      <c r="O63" s="4" t="n">
        <v>1399</v>
      </c>
      <c r="P63" s="4" t="n">
        <v>640</v>
      </c>
      <c r="Q63" s="6" t="n">
        <f aca="false">IFERROR(K63/J63,0)</f>
        <v>1.0625</v>
      </c>
    </row>
    <row r="64" customFormat="false" ht="15" hidden="false" customHeight="false" outlineLevel="0" collapsed="false">
      <c r="A64" s="2" t="n">
        <v>10063</v>
      </c>
      <c r="B64" s="3" t="s">
        <v>84</v>
      </c>
      <c r="C64" s="3" t="s">
        <v>22</v>
      </c>
      <c r="D64" s="4" t="n">
        <v>0.8</v>
      </c>
      <c r="E64" s="4" t="n">
        <v>135</v>
      </c>
      <c r="F64" s="4" t="n">
        <v>0</v>
      </c>
      <c r="G64" s="4" t="n">
        <v>126</v>
      </c>
      <c r="H64" s="4" t="n">
        <v>24</v>
      </c>
      <c r="I64" s="5" t="n">
        <f aca="false">E64+G64</f>
        <v>261</v>
      </c>
      <c r="J64" s="4" t="n">
        <v>512</v>
      </c>
      <c r="K64" s="4" t="n">
        <v>531</v>
      </c>
      <c r="L64" s="5" t="n">
        <f aca="false">K64-J64</f>
        <v>19</v>
      </c>
      <c r="M64" s="4" t="n">
        <v>543</v>
      </c>
      <c r="N64" s="5" t="n">
        <f aca="false">M64-H64</f>
        <v>519</v>
      </c>
      <c r="O64" s="4" t="n">
        <v>1057</v>
      </c>
      <c r="P64" s="4" t="n">
        <v>512</v>
      </c>
      <c r="Q64" s="6" t="n">
        <f aca="false">IFERROR(K64/J64,0)</f>
        <v>1.037109375</v>
      </c>
    </row>
    <row r="65" customFormat="false" ht="15" hidden="false" customHeight="false" outlineLevel="0" collapsed="false">
      <c r="A65" s="2" t="n">
        <v>10064</v>
      </c>
      <c r="B65" s="3" t="s">
        <v>85</v>
      </c>
      <c r="C65" s="3" t="s">
        <v>22</v>
      </c>
      <c r="D65" s="4" t="n">
        <v>0.5</v>
      </c>
      <c r="E65" s="4" t="n">
        <v>94</v>
      </c>
      <c r="F65" s="4" t="n">
        <v>8</v>
      </c>
      <c r="G65" s="4" t="n">
        <v>91</v>
      </c>
      <c r="H65" s="4" t="n">
        <v>0</v>
      </c>
      <c r="I65" s="5" t="n">
        <f aca="false">E65+G65</f>
        <v>185</v>
      </c>
      <c r="J65" s="4" t="n">
        <v>320</v>
      </c>
      <c r="K65" s="4" t="n">
        <v>366</v>
      </c>
      <c r="L65" s="5" t="n">
        <f aca="false">K65-J65</f>
        <v>46</v>
      </c>
      <c r="M65" s="4" t="n">
        <v>368</v>
      </c>
      <c r="N65" s="5" t="n">
        <f aca="false">M65-H65</f>
        <v>368</v>
      </c>
      <c r="O65" s="4" t="n">
        <v>732</v>
      </c>
      <c r="P65" s="4" t="n">
        <v>320</v>
      </c>
      <c r="Q65" s="6" t="n">
        <f aca="false">IFERROR(K65/J65,0)</f>
        <v>1.14375</v>
      </c>
    </row>
    <row r="66" customFormat="false" ht="15" hidden="false" customHeight="false" outlineLevel="0" collapsed="false">
      <c r="A66" s="2" t="n">
        <v>10065</v>
      </c>
      <c r="B66" s="3" t="s">
        <v>86</v>
      </c>
      <c r="C66" s="3" t="s">
        <v>20</v>
      </c>
      <c r="D66" s="4" t="n">
        <v>0.75</v>
      </c>
      <c r="E66" s="4" t="n">
        <v>105</v>
      </c>
      <c r="F66" s="4" t="n">
        <v>0</v>
      </c>
      <c r="G66" s="4" t="n">
        <v>100</v>
      </c>
      <c r="H66" s="4" t="n">
        <v>0</v>
      </c>
      <c r="I66" s="5" t="n">
        <f aca="false">E66+G66</f>
        <v>205</v>
      </c>
      <c r="J66" s="4" t="n">
        <v>480</v>
      </c>
      <c r="K66" s="4" t="n">
        <v>417</v>
      </c>
      <c r="L66" s="5" t="n">
        <f aca="false">K66-J66</f>
        <v>-63</v>
      </c>
      <c r="M66" s="4" t="n">
        <v>419</v>
      </c>
      <c r="N66" s="5" t="n">
        <f aca="false">M66-H66</f>
        <v>419</v>
      </c>
      <c r="O66" s="4" t="n">
        <v>870</v>
      </c>
      <c r="P66" s="4" t="n">
        <v>480</v>
      </c>
      <c r="Q66" s="6" t="n">
        <f aca="false">IFERROR(K66/J66,0)</f>
        <v>0.86875</v>
      </c>
    </row>
    <row r="67" customFormat="false" ht="15" hidden="false" customHeight="false" outlineLevel="0" collapsed="false">
      <c r="A67" s="2" t="n">
        <v>10066</v>
      </c>
      <c r="B67" s="3" t="s">
        <v>87</v>
      </c>
      <c r="C67" s="3" t="s">
        <v>20</v>
      </c>
      <c r="D67" s="4" t="n">
        <v>1</v>
      </c>
      <c r="E67" s="4" t="n">
        <v>162</v>
      </c>
      <c r="F67" s="4" t="n">
        <v>0</v>
      </c>
      <c r="G67" s="4" t="n">
        <v>152</v>
      </c>
      <c r="H67" s="4" t="n">
        <v>0</v>
      </c>
      <c r="I67" s="5" t="n">
        <f aca="false">E67+G67</f>
        <v>314</v>
      </c>
      <c r="J67" s="4" t="n">
        <v>640</v>
      </c>
      <c r="K67" s="4" t="n">
        <v>592</v>
      </c>
      <c r="L67" s="5" t="n">
        <f aca="false">K67-J67</f>
        <v>-48</v>
      </c>
      <c r="M67" s="4" t="n">
        <v>594</v>
      </c>
      <c r="N67" s="5" t="n">
        <f aca="false">M67-H67</f>
        <v>594</v>
      </c>
      <c r="O67" s="4" t="n">
        <v>1219</v>
      </c>
      <c r="P67" s="4" t="n">
        <v>640</v>
      </c>
      <c r="Q67" s="6" t="n">
        <f aca="false">IFERROR(K67/J67,0)</f>
        <v>0.925</v>
      </c>
    </row>
    <row r="68" customFormat="false" ht="15" hidden="false" customHeight="false" outlineLevel="0" collapsed="false">
      <c r="A68" s="2" t="n">
        <v>10067</v>
      </c>
      <c r="B68" s="3" t="s">
        <v>88</v>
      </c>
      <c r="C68" s="3" t="s">
        <v>25</v>
      </c>
      <c r="D68" s="4" t="n">
        <v>1</v>
      </c>
      <c r="E68" s="4" t="n">
        <v>174</v>
      </c>
      <c r="F68" s="4" t="n">
        <v>8</v>
      </c>
      <c r="G68" s="4" t="n">
        <v>165</v>
      </c>
      <c r="H68" s="4" t="n">
        <v>24</v>
      </c>
      <c r="I68" s="5" t="n">
        <f aca="false">E68+G68</f>
        <v>339</v>
      </c>
      <c r="J68" s="4" t="n">
        <v>640</v>
      </c>
      <c r="K68" s="4" t="n">
        <v>663</v>
      </c>
      <c r="L68" s="5" t="n">
        <f aca="false">K68-J68</f>
        <v>23</v>
      </c>
      <c r="M68" s="4" t="n">
        <v>662</v>
      </c>
      <c r="N68" s="5" t="n">
        <f aca="false">M68-H68</f>
        <v>638</v>
      </c>
      <c r="O68" s="4" t="n">
        <v>1324</v>
      </c>
      <c r="P68" s="4" t="n">
        <v>640</v>
      </c>
      <c r="Q68" s="6" t="n">
        <f aca="false">IFERROR(K68/J68,0)</f>
        <v>1.0359375</v>
      </c>
    </row>
    <row r="69" customFormat="false" ht="15" hidden="false" customHeight="false" outlineLevel="0" collapsed="false">
      <c r="A69" s="2" t="n">
        <v>10068</v>
      </c>
      <c r="B69" s="3" t="s">
        <v>89</v>
      </c>
      <c r="C69" s="3" t="s">
        <v>20</v>
      </c>
      <c r="D69" s="4" t="n">
        <v>0.5</v>
      </c>
      <c r="E69" s="4" t="n">
        <v>99</v>
      </c>
      <c r="F69" s="4" t="n">
        <v>0</v>
      </c>
      <c r="G69" s="4" t="n">
        <v>96</v>
      </c>
      <c r="H69" s="4" t="n">
        <v>0</v>
      </c>
      <c r="I69" s="5" t="n">
        <f aca="false">E69+G69</f>
        <v>195</v>
      </c>
      <c r="J69" s="4" t="n">
        <v>320</v>
      </c>
      <c r="K69" s="4" t="n">
        <v>362</v>
      </c>
      <c r="L69" s="5" t="n">
        <f aca="false">K69-J69</f>
        <v>42</v>
      </c>
      <c r="M69" s="4" t="n">
        <v>366</v>
      </c>
      <c r="N69" s="5" t="n">
        <f aca="false">M69-H69</f>
        <v>366</v>
      </c>
      <c r="O69" s="4" t="n">
        <v>753</v>
      </c>
      <c r="P69" s="4" t="n">
        <v>320</v>
      </c>
      <c r="Q69" s="6" t="n">
        <f aca="false">IFERROR(K69/J69,0)</f>
        <v>1.13125</v>
      </c>
    </row>
    <row r="70" customFormat="false" ht="15" hidden="false" customHeight="false" outlineLevel="0" collapsed="false">
      <c r="A70" s="2" t="n">
        <v>10069</v>
      </c>
      <c r="B70" s="3" t="s">
        <v>90</v>
      </c>
      <c r="C70" s="3" t="s">
        <v>31</v>
      </c>
      <c r="D70" s="4" t="n">
        <v>1</v>
      </c>
      <c r="E70" s="4" t="n">
        <v>131</v>
      </c>
      <c r="F70" s="4" t="n">
        <v>0</v>
      </c>
      <c r="G70" s="4" t="n">
        <v>139</v>
      </c>
      <c r="H70" s="4" t="n">
        <v>0</v>
      </c>
      <c r="I70" s="5" t="n">
        <f aca="false">E70+G70</f>
        <v>270</v>
      </c>
      <c r="J70" s="4" t="n">
        <v>640</v>
      </c>
      <c r="K70" s="4" t="n">
        <v>552</v>
      </c>
      <c r="L70" s="5" t="n">
        <f aca="false">K70-J70</f>
        <v>-88</v>
      </c>
      <c r="M70" s="4" t="n">
        <v>563</v>
      </c>
      <c r="N70" s="5" t="n">
        <f aca="false">M70-H70</f>
        <v>563</v>
      </c>
      <c r="O70" s="4" t="n">
        <v>1090</v>
      </c>
      <c r="P70" s="4" t="n">
        <v>640</v>
      </c>
      <c r="Q70" s="6" t="n">
        <f aca="false">IFERROR(K70/J70,0)</f>
        <v>0.8625</v>
      </c>
    </row>
    <row r="71" customFormat="false" ht="15" hidden="false" customHeight="false" outlineLevel="0" collapsed="false">
      <c r="A71" s="2" t="n">
        <v>10070</v>
      </c>
      <c r="B71" s="3" t="s">
        <v>91</v>
      </c>
      <c r="C71" s="3" t="s">
        <v>18</v>
      </c>
      <c r="D71" s="4" t="n">
        <v>0.6</v>
      </c>
      <c r="E71" s="4" t="n">
        <v>80</v>
      </c>
      <c r="F71" s="4" t="n">
        <v>4</v>
      </c>
      <c r="G71" s="4" t="n">
        <v>81</v>
      </c>
      <c r="H71" s="4" t="n">
        <v>24</v>
      </c>
      <c r="I71" s="5" t="n">
        <f aca="false">E71+G71</f>
        <v>161</v>
      </c>
      <c r="J71" s="4" t="n">
        <v>384</v>
      </c>
      <c r="K71" s="4" t="n">
        <v>316</v>
      </c>
      <c r="L71" s="5" t="n">
        <f aca="false">K71-J71</f>
        <v>-68</v>
      </c>
      <c r="M71" s="4" t="n">
        <v>317</v>
      </c>
      <c r="N71" s="5" t="n">
        <f aca="false">M71-H71</f>
        <v>293</v>
      </c>
      <c r="O71" s="4" t="n">
        <v>630</v>
      </c>
      <c r="P71" s="4" t="n">
        <v>384</v>
      </c>
      <c r="Q71" s="6" t="n">
        <f aca="false">IFERROR(K71/J71,0)</f>
        <v>0.822916666666667</v>
      </c>
    </row>
    <row r="72" customFormat="false" ht="15" hidden="false" customHeight="false" outlineLevel="0" collapsed="false">
      <c r="A72" s="2" t="n">
        <v>10071</v>
      </c>
      <c r="B72" s="3" t="s">
        <v>92</v>
      </c>
      <c r="C72" s="3" t="s">
        <v>20</v>
      </c>
      <c r="D72" s="4" t="n">
        <v>0.75</v>
      </c>
      <c r="E72" s="4" t="n">
        <v>134</v>
      </c>
      <c r="F72" s="4" t="n">
        <v>0</v>
      </c>
      <c r="G72" s="4" t="n">
        <v>135</v>
      </c>
      <c r="H72" s="4" t="n">
        <v>40</v>
      </c>
      <c r="I72" s="5" t="n">
        <f aca="false">E72+G72</f>
        <v>269</v>
      </c>
      <c r="J72" s="4" t="n">
        <v>480</v>
      </c>
      <c r="K72" s="4" t="n">
        <v>523</v>
      </c>
      <c r="L72" s="5" t="n">
        <f aca="false">K72-J72</f>
        <v>43</v>
      </c>
      <c r="M72" s="4" t="n">
        <v>535</v>
      </c>
      <c r="N72" s="5" t="n">
        <f aca="false">M72-H72</f>
        <v>495</v>
      </c>
      <c r="O72" s="4" t="n">
        <v>1028</v>
      </c>
      <c r="P72" s="4" t="n">
        <v>480</v>
      </c>
      <c r="Q72" s="6" t="n">
        <f aca="false">IFERROR(K72/J72,0)</f>
        <v>1.08958333333333</v>
      </c>
    </row>
    <row r="73" customFormat="false" ht="15" hidden="false" customHeight="false" outlineLevel="0" collapsed="false">
      <c r="A73" s="2" t="n">
        <v>10072</v>
      </c>
      <c r="B73" s="3" t="s">
        <v>93</v>
      </c>
      <c r="C73" s="3" t="s">
        <v>25</v>
      </c>
      <c r="D73" s="4" t="n">
        <v>0.6</v>
      </c>
      <c r="E73" s="4" t="n">
        <v>96</v>
      </c>
      <c r="F73" s="4" t="n">
        <v>8</v>
      </c>
      <c r="G73" s="4" t="n">
        <v>103</v>
      </c>
      <c r="H73" s="4" t="n">
        <v>16</v>
      </c>
      <c r="I73" s="5" t="n">
        <f aca="false">E73+G73</f>
        <v>199</v>
      </c>
      <c r="J73" s="4" t="n">
        <v>384</v>
      </c>
      <c r="K73" s="4" t="n">
        <v>404</v>
      </c>
      <c r="L73" s="5" t="n">
        <f aca="false">K73-J73</f>
        <v>20</v>
      </c>
      <c r="M73" s="4" t="n">
        <v>416</v>
      </c>
      <c r="N73" s="5" t="n">
        <f aca="false">M73-H73</f>
        <v>400</v>
      </c>
      <c r="O73" s="4" t="n">
        <v>843</v>
      </c>
      <c r="P73" s="4" t="n">
        <v>384</v>
      </c>
      <c r="Q73" s="6" t="n">
        <f aca="false">IFERROR(K73/J73,0)</f>
        <v>1.05208333333333</v>
      </c>
    </row>
    <row r="74" customFormat="false" ht="15" hidden="false" customHeight="false" outlineLevel="0" collapsed="false">
      <c r="A74" s="2" t="n">
        <v>10073</v>
      </c>
      <c r="B74" s="3" t="s">
        <v>94</v>
      </c>
      <c r="C74" s="3" t="s">
        <v>25</v>
      </c>
      <c r="D74" s="4" t="n">
        <v>1</v>
      </c>
      <c r="E74" s="4" t="n">
        <v>161</v>
      </c>
      <c r="F74" s="4" t="n">
        <v>4</v>
      </c>
      <c r="G74" s="4" t="n">
        <v>156</v>
      </c>
      <c r="H74" s="4" t="n">
        <v>24</v>
      </c>
      <c r="I74" s="5" t="n">
        <f aca="false">E74+G74</f>
        <v>317</v>
      </c>
      <c r="J74" s="4" t="n">
        <v>640</v>
      </c>
      <c r="K74" s="4" t="n">
        <v>616</v>
      </c>
      <c r="L74" s="5" t="n">
        <f aca="false">K74-J74</f>
        <v>-24</v>
      </c>
      <c r="M74" s="4" t="n">
        <v>623</v>
      </c>
      <c r="N74" s="5" t="n">
        <f aca="false">M74-H74</f>
        <v>599</v>
      </c>
      <c r="O74" s="4" t="n">
        <v>1285</v>
      </c>
      <c r="P74" s="4" t="n">
        <v>640</v>
      </c>
      <c r="Q74" s="6" t="n">
        <f aca="false">IFERROR(K74/J74,0)</f>
        <v>0.9625</v>
      </c>
    </row>
    <row r="75" customFormat="false" ht="15" hidden="false" customHeight="false" outlineLevel="0" collapsed="false">
      <c r="A75" s="2" t="n">
        <v>10074</v>
      </c>
      <c r="B75" s="3" t="s">
        <v>95</v>
      </c>
      <c r="C75" s="3" t="s">
        <v>18</v>
      </c>
      <c r="D75" s="4" t="n">
        <v>0.75</v>
      </c>
      <c r="E75" s="4" t="n">
        <v>124</v>
      </c>
      <c r="F75" s="4" t="n">
        <v>0</v>
      </c>
      <c r="G75" s="4" t="n">
        <v>125</v>
      </c>
      <c r="H75" s="4" t="n">
        <v>16</v>
      </c>
      <c r="I75" s="5" t="n">
        <f aca="false">E75+G75</f>
        <v>249</v>
      </c>
      <c r="J75" s="4" t="n">
        <v>480</v>
      </c>
      <c r="K75" s="4" t="n">
        <v>512</v>
      </c>
      <c r="L75" s="5" t="n">
        <f aca="false">K75-J75</f>
        <v>32</v>
      </c>
      <c r="M75" s="4" t="n">
        <v>524</v>
      </c>
      <c r="N75" s="5" t="n">
        <f aca="false">M75-H75</f>
        <v>508</v>
      </c>
      <c r="O75" s="4" t="n">
        <v>1026</v>
      </c>
      <c r="P75" s="4" t="n">
        <v>480</v>
      </c>
      <c r="Q75" s="6" t="n">
        <f aca="false">IFERROR(K75/J75,0)</f>
        <v>1.06666666666667</v>
      </c>
    </row>
    <row r="76" customFormat="false" ht="15" hidden="false" customHeight="false" outlineLevel="0" collapsed="false">
      <c r="A76" s="2" t="n">
        <v>10075</v>
      </c>
      <c r="B76" s="3" t="s">
        <v>96</v>
      </c>
      <c r="C76" s="3" t="s">
        <v>25</v>
      </c>
      <c r="D76" s="4" t="n">
        <v>1</v>
      </c>
      <c r="E76" s="4" t="n">
        <v>150</v>
      </c>
      <c r="F76" s="4" t="n">
        <v>0</v>
      </c>
      <c r="G76" s="4" t="n">
        <v>143</v>
      </c>
      <c r="H76" s="4" t="n">
        <v>0</v>
      </c>
      <c r="I76" s="5" t="n">
        <f aca="false">E76+G76</f>
        <v>293</v>
      </c>
      <c r="J76" s="4" t="n">
        <v>640</v>
      </c>
      <c r="K76" s="4" t="n">
        <v>553</v>
      </c>
      <c r="L76" s="5" t="n">
        <f aca="false">K76-J76</f>
        <v>-87</v>
      </c>
      <c r="M76" s="4" t="n">
        <v>563</v>
      </c>
      <c r="N76" s="5" t="n">
        <f aca="false">M76-H76</f>
        <v>563</v>
      </c>
      <c r="O76" s="4" t="n">
        <v>1097</v>
      </c>
      <c r="P76" s="4" t="n">
        <v>640</v>
      </c>
      <c r="Q76" s="6" t="n">
        <f aca="false">IFERROR(K76/J76,0)</f>
        <v>0.8640625</v>
      </c>
    </row>
    <row r="77" customFormat="false" ht="15" hidden="false" customHeight="false" outlineLevel="0" collapsed="false">
      <c r="A77" s="2" t="n">
        <v>10076</v>
      </c>
      <c r="B77" s="3" t="s">
        <v>97</v>
      </c>
      <c r="C77" s="3" t="s">
        <v>22</v>
      </c>
      <c r="D77" s="4" t="n">
        <v>0.8</v>
      </c>
      <c r="E77" s="4" t="n">
        <v>120</v>
      </c>
      <c r="F77" s="4" t="n">
        <v>0</v>
      </c>
      <c r="G77" s="4" t="n">
        <v>120</v>
      </c>
      <c r="H77" s="4" t="n">
        <v>8</v>
      </c>
      <c r="I77" s="5" t="n">
        <f aca="false">E77+G77</f>
        <v>240</v>
      </c>
      <c r="J77" s="4" t="n">
        <v>512</v>
      </c>
      <c r="K77" s="4" t="n">
        <v>520</v>
      </c>
      <c r="L77" s="5" t="n">
        <f aca="false">K77-J77</f>
        <v>8</v>
      </c>
      <c r="M77" s="4" t="n">
        <v>527</v>
      </c>
      <c r="N77" s="5" t="n">
        <f aca="false">M77-H77</f>
        <v>519</v>
      </c>
      <c r="O77" s="4" t="n">
        <v>1060</v>
      </c>
      <c r="P77" s="4" t="n">
        <v>512</v>
      </c>
      <c r="Q77" s="6" t="n">
        <f aca="false">IFERROR(K77/J77,0)</f>
        <v>1.015625</v>
      </c>
    </row>
    <row r="78" customFormat="false" ht="15" hidden="false" customHeight="false" outlineLevel="0" collapsed="false">
      <c r="A78" s="2" t="n">
        <v>10077</v>
      </c>
      <c r="B78" s="3" t="s">
        <v>98</v>
      </c>
      <c r="C78" s="3" t="s">
        <v>25</v>
      </c>
      <c r="D78" s="4" t="n">
        <v>1</v>
      </c>
      <c r="E78" s="4" t="n">
        <v>178</v>
      </c>
      <c r="F78" s="4" t="n">
        <v>0</v>
      </c>
      <c r="G78" s="4" t="n">
        <v>174</v>
      </c>
      <c r="H78" s="4" t="n">
        <v>8</v>
      </c>
      <c r="I78" s="5" t="n">
        <f aca="false">E78+G78</f>
        <v>352</v>
      </c>
      <c r="J78" s="4" t="n">
        <v>640</v>
      </c>
      <c r="K78" s="4" t="n">
        <v>724</v>
      </c>
      <c r="L78" s="5" t="n">
        <f aca="false">K78-J78</f>
        <v>84</v>
      </c>
      <c r="M78" s="4" t="n">
        <v>726</v>
      </c>
      <c r="N78" s="5" t="n">
        <f aca="false">M78-H78</f>
        <v>718</v>
      </c>
      <c r="O78" s="4" t="n">
        <v>1488</v>
      </c>
      <c r="P78" s="4" t="n">
        <v>640</v>
      </c>
      <c r="Q78" s="6" t="n">
        <f aca="false">IFERROR(K78/J78,0)</f>
        <v>1.13125</v>
      </c>
    </row>
    <row r="79" customFormat="false" ht="15" hidden="false" customHeight="false" outlineLevel="0" collapsed="false">
      <c r="A79" s="2" t="n">
        <v>10078</v>
      </c>
      <c r="B79" s="3" t="s">
        <v>99</v>
      </c>
      <c r="C79" s="3" t="s">
        <v>18</v>
      </c>
      <c r="D79" s="4" t="n">
        <v>1</v>
      </c>
      <c r="E79" s="4" t="n">
        <v>109</v>
      </c>
      <c r="F79" s="4" t="n">
        <v>0</v>
      </c>
      <c r="G79" s="4" t="n">
        <v>108</v>
      </c>
      <c r="H79" s="4" t="n">
        <v>0</v>
      </c>
      <c r="I79" s="5" t="n">
        <f aca="false">E79+G79</f>
        <v>217</v>
      </c>
      <c r="J79" s="4" t="n">
        <v>640</v>
      </c>
      <c r="K79" s="4" t="n">
        <v>453</v>
      </c>
      <c r="L79" s="5" t="n">
        <f aca="false">K79-J79</f>
        <v>-187</v>
      </c>
      <c r="M79" s="4" t="n">
        <v>465</v>
      </c>
      <c r="N79" s="5" t="n">
        <f aca="false">M79-H79</f>
        <v>465</v>
      </c>
      <c r="O79" s="4" t="n">
        <v>931</v>
      </c>
      <c r="P79" s="4" t="n">
        <v>640</v>
      </c>
      <c r="Q79" s="6" t="n">
        <f aca="false">IFERROR(K79/J79,0)</f>
        <v>0.7078125</v>
      </c>
    </row>
    <row r="80" customFormat="false" ht="15" hidden="false" customHeight="false" outlineLevel="0" collapsed="false">
      <c r="A80" s="2" t="n">
        <v>10079</v>
      </c>
      <c r="B80" s="3" t="s">
        <v>100</v>
      </c>
      <c r="C80" s="3" t="s">
        <v>20</v>
      </c>
      <c r="D80" s="4" t="n">
        <v>1</v>
      </c>
      <c r="E80" s="4" t="n">
        <v>168</v>
      </c>
      <c r="F80" s="4" t="n">
        <v>4</v>
      </c>
      <c r="G80" s="4" t="n">
        <v>174</v>
      </c>
      <c r="H80" s="4" t="n">
        <v>0</v>
      </c>
      <c r="I80" s="5" t="n">
        <f aca="false">E80+G80</f>
        <v>342</v>
      </c>
      <c r="J80" s="4" t="n">
        <v>640</v>
      </c>
      <c r="K80" s="4" t="n">
        <v>639</v>
      </c>
      <c r="L80" s="5" t="n">
        <f aca="false">K80-J80</f>
        <v>-1</v>
      </c>
      <c r="M80" s="4" t="n">
        <v>640</v>
      </c>
      <c r="N80" s="5" t="n">
        <f aca="false">M80-H80</f>
        <v>640</v>
      </c>
      <c r="O80" s="4" t="n">
        <v>1269</v>
      </c>
      <c r="P80" s="4" t="n">
        <v>640</v>
      </c>
      <c r="Q80" s="6" t="n">
        <f aca="false">IFERROR(K80/J80,0)</f>
        <v>0.9984375</v>
      </c>
    </row>
    <row r="81" customFormat="false" ht="15" hidden="false" customHeight="false" outlineLevel="0" collapsed="false">
      <c r="A81" s="2" t="n">
        <v>10080</v>
      </c>
      <c r="B81" s="3" t="s">
        <v>101</v>
      </c>
      <c r="C81" s="3" t="s">
        <v>18</v>
      </c>
      <c r="D81" s="4" t="n">
        <v>0.8</v>
      </c>
      <c r="E81" s="4" t="n">
        <v>122</v>
      </c>
      <c r="F81" s="4" t="n">
        <v>8</v>
      </c>
      <c r="G81" s="4" t="n">
        <v>130</v>
      </c>
      <c r="H81" s="4" t="n">
        <v>0</v>
      </c>
      <c r="I81" s="5" t="n">
        <f aca="false">E81+G81</f>
        <v>252</v>
      </c>
      <c r="J81" s="4" t="n">
        <v>512</v>
      </c>
      <c r="K81" s="4" t="n">
        <v>531</v>
      </c>
      <c r="L81" s="5" t="n">
        <f aca="false">K81-J81</f>
        <v>19</v>
      </c>
      <c r="M81" s="4" t="n">
        <v>538</v>
      </c>
      <c r="N81" s="5" t="n">
        <f aca="false">M81-H81</f>
        <v>538</v>
      </c>
      <c r="O81" s="4" t="n">
        <v>1087</v>
      </c>
      <c r="P81" s="4" t="n">
        <v>512</v>
      </c>
      <c r="Q81" s="6" t="n">
        <f aca="false">IFERROR(K81/J81,0)</f>
        <v>1.037109375</v>
      </c>
    </row>
    <row r="82" customFormat="false" ht="15" hidden="false" customHeight="false" outlineLevel="0" collapsed="false">
      <c r="A82" s="2" t="n">
        <v>10081</v>
      </c>
      <c r="B82" s="3" t="s">
        <v>102</v>
      </c>
      <c r="C82" s="3" t="s">
        <v>18</v>
      </c>
      <c r="D82" s="4" t="n">
        <v>0.8</v>
      </c>
      <c r="E82" s="4" t="n">
        <v>97</v>
      </c>
      <c r="F82" s="4" t="n">
        <v>0</v>
      </c>
      <c r="G82" s="4" t="n">
        <v>102</v>
      </c>
      <c r="H82" s="4" t="n">
        <v>24</v>
      </c>
      <c r="I82" s="5" t="n">
        <f aca="false">E82+G82</f>
        <v>199</v>
      </c>
      <c r="J82" s="4" t="n">
        <v>512</v>
      </c>
      <c r="K82" s="4" t="n">
        <v>381</v>
      </c>
      <c r="L82" s="5" t="n">
        <f aca="false">K82-J82</f>
        <v>-131</v>
      </c>
      <c r="M82" s="4" t="n">
        <v>380</v>
      </c>
      <c r="N82" s="5" t="n">
        <f aca="false">M82-H82</f>
        <v>356</v>
      </c>
      <c r="O82" s="4" t="n">
        <v>751</v>
      </c>
      <c r="P82" s="4" t="n">
        <v>512</v>
      </c>
      <c r="Q82" s="6" t="n">
        <f aca="false">IFERROR(K82/J82,0)</f>
        <v>0.744140625</v>
      </c>
    </row>
    <row r="83" customFormat="false" ht="15" hidden="false" customHeight="false" outlineLevel="0" collapsed="false">
      <c r="A83" s="2" t="n">
        <v>10082</v>
      </c>
      <c r="B83" s="3" t="s">
        <v>103</v>
      </c>
      <c r="C83" s="3" t="s">
        <v>20</v>
      </c>
      <c r="D83" s="4" t="n">
        <v>1</v>
      </c>
      <c r="E83" s="4" t="n">
        <v>144</v>
      </c>
      <c r="F83" s="4" t="n">
        <v>0</v>
      </c>
      <c r="G83" s="4" t="n">
        <v>153</v>
      </c>
      <c r="H83" s="4" t="n">
        <v>16</v>
      </c>
      <c r="I83" s="5" t="n">
        <f aca="false">E83+G83</f>
        <v>297</v>
      </c>
      <c r="J83" s="4" t="n">
        <v>640</v>
      </c>
      <c r="K83" s="4" t="n">
        <v>562</v>
      </c>
      <c r="L83" s="5" t="n">
        <f aca="false">K83-J83</f>
        <v>-78</v>
      </c>
      <c r="M83" s="4" t="n">
        <v>567</v>
      </c>
      <c r="N83" s="5" t="n">
        <f aca="false">M83-H83</f>
        <v>551</v>
      </c>
      <c r="O83" s="4" t="n">
        <v>1097</v>
      </c>
      <c r="P83" s="4" t="n">
        <v>640</v>
      </c>
      <c r="Q83" s="6" t="n">
        <f aca="false">IFERROR(K83/J83,0)</f>
        <v>0.878125</v>
      </c>
    </row>
    <row r="84" customFormat="false" ht="15" hidden="false" customHeight="false" outlineLevel="0" collapsed="false">
      <c r="B84" s="7" t="s">
        <v>104</v>
      </c>
      <c r="I84" s="8" t="n">
        <f aca="false">SUM(I2:I83)</f>
        <v>20121</v>
      </c>
      <c r="J84" s="8" t="n">
        <f aca="false">SUM(J2:J83)</f>
        <v>43264</v>
      </c>
      <c r="K84" s="8" t="n">
        <f aca="false">SUM(K2:K83)</f>
        <v>40139</v>
      </c>
      <c r="L84" s="8" t="n">
        <f aca="false">SUM(L2:L83)</f>
        <v>-3125</v>
      </c>
      <c r="M84" s="8" t="n">
        <f aca="false">SUM(M2:M83)</f>
        <v>40409</v>
      </c>
      <c r="N84" s="8" t="n">
        <f aca="false">SUM(N2:N83)</f>
        <v>39571</v>
      </c>
      <c r="O84" s="8" t="n">
        <f aca="false">SUM(O2:O83)</f>
        <v>81190</v>
      </c>
      <c r="P84" s="8" t="n">
        <f aca="false">SUM(P2:P83)</f>
        <v>43264</v>
      </c>
      <c r="Q84" s="9" t="n">
        <f aca="false">IFERROR(SUM(K2:K83)/SUM(J2:J83),0)</f>
        <v>0.927769045857988</v>
      </c>
    </row>
    <row r="86" customFormat="false" ht="15" hidden="false" customHeight="false" outlineLevel="0" collapsed="false">
      <c r="B86" s="10" t="s">
        <v>105</v>
      </c>
    </row>
    <row r="87" customFormat="false" ht="15" hidden="false" customHeight="false" outlineLevel="0" collapsed="false">
      <c r="B87" s="11" t="s">
        <v>106</v>
      </c>
    </row>
    <row r="88" customFormat="false" ht="15" hidden="false" customHeight="false" outlineLevel="0" collapsed="false">
      <c r="B88" s="11" t="s">
        <v>107</v>
      </c>
    </row>
    <row r="89" customFormat="false" ht="15" hidden="false" customHeight="false" outlineLevel="0" collapsed="false">
      <c r="B89" s="11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8" min="5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11"/>
    <col collapsed="false" customWidth="true" hidden="false" outlineLevel="0" max="16" min="16" style="0" width="22"/>
    <col collapsed="false" customWidth="true" hidden="false" outlineLevel="0" max="17" min="17" style="0" width="14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10133</v>
      </c>
      <c r="B2" s="3" t="s">
        <v>109</v>
      </c>
      <c r="C2" s="3" t="s">
        <v>22</v>
      </c>
      <c r="D2" s="4" t="n">
        <v>0.8</v>
      </c>
      <c r="E2" s="4" t="n">
        <v>125</v>
      </c>
      <c r="F2" s="4" t="n">
        <v>0</v>
      </c>
      <c r="G2" s="4" t="n">
        <v>134</v>
      </c>
      <c r="H2" s="4" t="n">
        <v>30</v>
      </c>
      <c r="I2" s="5" t="n">
        <f aca="false">E2+G2</f>
        <v>259</v>
      </c>
      <c r="J2" s="4" t="n">
        <v>512</v>
      </c>
      <c r="K2" s="4" t="n">
        <v>517</v>
      </c>
      <c r="L2" s="5" t="n">
        <f aca="false">K2-J2</f>
        <v>5</v>
      </c>
      <c r="M2" s="4" t="n">
        <v>508</v>
      </c>
      <c r="N2" s="5" t="n">
        <f aca="false">M2-H2</f>
        <v>478</v>
      </c>
      <c r="O2" s="4" t="n">
        <v>1069</v>
      </c>
      <c r="P2" s="4" t="n">
        <v>512</v>
      </c>
      <c r="Q2" s="6" t="n">
        <f aca="false">IFERROR(K2/J2,0)</f>
        <v>1.009765625</v>
      </c>
    </row>
    <row r="3" customFormat="false" ht="15" hidden="false" customHeight="false" outlineLevel="0" collapsed="false">
      <c r="A3" s="2" t="n">
        <v>10134</v>
      </c>
      <c r="B3" s="3" t="s">
        <v>110</v>
      </c>
      <c r="C3" s="3" t="s">
        <v>111</v>
      </c>
      <c r="D3" s="4" t="n">
        <v>1</v>
      </c>
      <c r="E3" s="4" t="n">
        <v>165</v>
      </c>
      <c r="F3" s="4" t="n">
        <v>0</v>
      </c>
      <c r="G3" s="4" t="n">
        <v>161</v>
      </c>
      <c r="H3" s="4" t="n">
        <v>30</v>
      </c>
      <c r="I3" s="5" t="n">
        <f aca="false">E3+G3</f>
        <v>326</v>
      </c>
      <c r="J3" s="4" t="n">
        <v>640</v>
      </c>
      <c r="K3" s="4" t="n">
        <v>663</v>
      </c>
      <c r="L3" s="5" t="n">
        <f aca="false">K3-J3</f>
        <v>23</v>
      </c>
      <c r="M3" s="4" t="n">
        <v>652</v>
      </c>
      <c r="N3" s="5" t="n">
        <f aca="false">M3-H3</f>
        <v>622</v>
      </c>
      <c r="O3" s="4" t="n">
        <v>1301</v>
      </c>
      <c r="P3" s="4" t="n">
        <v>640</v>
      </c>
      <c r="Q3" s="6" t="n">
        <f aca="false">IFERROR(K3/J3,0)</f>
        <v>1.0359375</v>
      </c>
    </row>
    <row r="4" customFormat="false" ht="15" hidden="false" customHeight="false" outlineLevel="0" collapsed="false">
      <c r="A4" s="2" t="n">
        <v>10135</v>
      </c>
      <c r="B4" s="3" t="s">
        <v>112</v>
      </c>
      <c r="C4" s="3" t="s">
        <v>22</v>
      </c>
      <c r="D4" s="4" t="n">
        <v>1</v>
      </c>
      <c r="E4" s="4" t="n">
        <v>172</v>
      </c>
      <c r="F4" s="4" t="n">
        <v>0</v>
      </c>
      <c r="G4" s="4" t="n">
        <v>172</v>
      </c>
      <c r="H4" s="4" t="n">
        <v>8</v>
      </c>
      <c r="I4" s="5" t="n">
        <f aca="false">E4+G4</f>
        <v>344</v>
      </c>
      <c r="J4" s="4" t="n">
        <v>640</v>
      </c>
      <c r="K4" s="4" t="n">
        <v>637</v>
      </c>
      <c r="L4" s="5" t="n">
        <f aca="false">K4-J4</f>
        <v>-3</v>
      </c>
      <c r="M4" s="4" t="n">
        <v>627</v>
      </c>
      <c r="N4" s="5" t="n">
        <f aca="false">M4-H4</f>
        <v>619</v>
      </c>
      <c r="O4" s="4" t="n">
        <v>1309</v>
      </c>
      <c r="P4" s="4" t="n">
        <v>640</v>
      </c>
      <c r="Q4" s="6" t="n">
        <f aca="false">IFERROR(K4/J4,0)</f>
        <v>0.9953125</v>
      </c>
    </row>
    <row r="5" customFormat="false" ht="15" hidden="false" customHeight="false" outlineLevel="0" collapsed="false">
      <c r="A5" s="2" t="n">
        <v>10136</v>
      </c>
      <c r="B5" s="3" t="s">
        <v>113</v>
      </c>
      <c r="C5" s="3" t="s">
        <v>114</v>
      </c>
      <c r="D5" s="4" t="n">
        <v>0.5</v>
      </c>
      <c r="E5" s="4" t="n">
        <v>65</v>
      </c>
      <c r="F5" s="4" t="n">
        <v>0</v>
      </c>
      <c r="G5" s="4" t="n">
        <v>65</v>
      </c>
      <c r="H5" s="4" t="n">
        <v>0</v>
      </c>
      <c r="I5" s="5" t="n">
        <f aca="false">E5+G5</f>
        <v>130</v>
      </c>
      <c r="J5" s="4" t="n">
        <v>320</v>
      </c>
      <c r="K5" s="4" t="n">
        <v>266</v>
      </c>
      <c r="L5" s="5" t="n">
        <f aca="false">K5-J5</f>
        <v>-54</v>
      </c>
      <c r="M5" s="4" t="n">
        <v>266</v>
      </c>
      <c r="N5" s="5" t="n">
        <f aca="false">M5-H5</f>
        <v>266</v>
      </c>
      <c r="O5" s="4" t="n">
        <v>545</v>
      </c>
      <c r="P5" s="4" t="n">
        <v>320</v>
      </c>
      <c r="Q5" s="6" t="n">
        <f aca="false">IFERROR(K5/J5,0)</f>
        <v>0.83125</v>
      </c>
    </row>
    <row r="6" customFormat="false" ht="15" hidden="false" customHeight="false" outlineLevel="0" collapsed="false">
      <c r="A6" s="2" t="n">
        <v>10137</v>
      </c>
      <c r="B6" s="3" t="s">
        <v>115</v>
      </c>
      <c r="C6" s="3" t="s">
        <v>31</v>
      </c>
      <c r="D6" s="4" t="n">
        <v>0.75</v>
      </c>
      <c r="E6" s="4" t="n">
        <v>91</v>
      </c>
      <c r="F6" s="4" t="n">
        <v>0</v>
      </c>
      <c r="G6" s="4" t="n">
        <v>87</v>
      </c>
      <c r="H6" s="4" t="n">
        <v>8</v>
      </c>
      <c r="I6" s="5" t="n">
        <f aca="false">E6+G6</f>
        <v>178</v>
      </c>
      <c r="J6" s="4" t="n">
        <v>480</v>
      </c>
      <c r="K6" s="4" t="n">
        <v>342</v>
      </c>
      <c r="L6" s="5" t="n">
        <f aca="false">K6-J6</f>
        <v>-138</v>
      </c>
      <c r="M6" s="4" t="n">
        <v>345</v>
      </c>
      <c r="N6" s="5" t="n">
        <f aca="false">M6-H6</f>
        <v>337</v>
      </c>
      <c r="O6" s="4" t="n">
        <v>684</v>
      </c>
      <c r="P6" s="4" t="n">
        <v>480</v>
      </c>
      <c r="Q6" s="6" t="n">
        <f aca="false">IFERROR(K6/J6,0)</f>
        <v>0.7125</v>
      </c>
    </row>
    <row r="7" customFormat="false" ht="15" hidden="false" customHeight="false" outlineLevel="0" collapsed="false">
      <c r="A7" s="2" t="n">
        <v>10138</v>
      </c>
      <c r="B7" s="3" t="s">
        <v>116</v>
      </c>
      <c r="C7" s="3" t="s">
        <v>22</v>
      </c>
      <c r="D7" s="4" t="n">
        <v>0.8</v>
      </c>
      <c r="E7" s="4" t="n">
        <v>126</v>
      </c>
      <c r="F7" s="4" t="n">
        <v>0</v>
      </c>
      <c r="G7" s="4" t="n">
        <v>125</v>
      </c>
      <c r="H7" s="4" t="n">
        <v>8</v>
      </c>
      <c r="I7" s="5" t="n">
        <f aca="false">E7+G7</f>
        <v>251</v>
      </c>
      <c r="J7" s="4" t="n">
        <v>512</v>
      </c>
      <c r="K7" s="4" t="n">
        <v>515</v>
      </c>
      <c r="L7" s="5" t="n">
        <f aca="false">K7-J7</f>
        <v>3</v>
      </c>
      <c r="M7" s="4" t="n">
        <v>510</v>
      </c>
      <c r="N7" s="5" t="n">
        <f aca="false">M7-H7</f>
        <v>502</v>
      </c>
      <c r="O7" s="4" t="n">
        <v>1013</v>
      </c>
      <c r="P7" s="4" t="n">
        <v>512</v>
      </c>
      <c r="Q7" s="6" t="n">
        <f aca="false">IFERROR(K7/J7,0)</f>
        <v>1.005859375</v>
      </c>
    </row>
    <row r="8" customFormat="false" ht="15" hidden="false" customHeight="false" outlineLevel="0" collapsed="false">
      <c r="A8" s="2" t="n">
        <v>10139</v>
      </c>
      <c r="B8" s="3" t="s">
        <v>117</v>
      </c>
      <c r="C8" s="3" t="s">
        <v>22</v>
      </c>
      <c r="D8" s="4" t="n">
        <v>1</v>
      </c>
      <c r="E8" s="4" t="n">
        <v>204</v>
      </c>
      <c r="F8" s="4" t="n">
        <v>0</v>
      </c>
      <c r="G8" s="4" t="n">
        <v>194</v>
      </c>
      <c r="H8" s="4" t="n">
        <v>8</v>
      </c>
      <c r="I8" s="5" t="n">
        <f aca="false">E8+G8</f>
        <v>398</v>
      </c>
      <c r="J8" s="4" t="n">
        <v>640</v>
      </c>
      <c r="K8" s="4" t="n">
        <v>739</v>
      </c>
      <c r="L8" s="5" t="n">
        <f aca="false">K8-J8</f>
        <v>99</v>
      </c>
      <c r="M8" s="4" t="n">
        <v>725</v>
      </c>
      <c r="N8" s="5" t="n">
        <f aca="false">M8-H8</f>
        <v>717</v>
      </c>
      <c r="O8" s="4" t="n">
        <v>1544</v>
      </c>
      <c r="P8" s="4" t="n">
        <v>640</v>
      </c>
      <c r="Q8" s="6" t="n">
        <f aca="false">IFERROR(K8/J8,0)</f>
        <v>1.1546875</v>
      </c>
    </row>
    <row r="9" customFormat="false" ht="15" hidden="false" customHeight="false" outlineLevel="0" collapsed="false">
      <c r="A9" s="2" t="n">
        <v>10140</v>
      </c>
      <c r="B9" s="3" t="s">
        <v>118</v>
      </c>
      <c r="C9" s="3" t="s">
        <v>31</v>
      </c>
      <c r="D9" s="4" t="n">
        <v>1</v>
      </c>
      <c r="E9" s="4" t="n">
        <v>152</v>
      </c>
      <c r="F9" s="4" t="n">
        <v>0</v>
      </c>
      <c r="G9" s="4" t="n">
        <v>144</v>
      </c>
      <c r="H9" s="4" t="n">
        <v>0</v>
      </c>
      <c r="I9" s="5" t="n">
        <f aca="false">E9+G9</f>
        <v>296</v>
      </c>
      <c r="J9" s="4" t="n">
        <v>640</v>
      </c>
      <c r="K9" s="4" t="n">
        <v>643</v>
      </c>
      <c r="L9" s="5" t="n">
        <f aca="false">K9-J9</f>
        <v>3</v>
      </c>
      <c r="M9" s="4" t="n">
        <v>635</v>
      </c>
      <c r="N9" s="5" t="n">
        <f aca="false">M9-H9</f>
        <v>635</v>
      </c>
      <c r="O9" s="4" t="n">
        <v>1315</v>
      </c>
      <c r="P9" s="4" t="n">
        <v>640</v>
      </c>
      <c r="Q9" s="6" t="n">
        <f aca="false">IFERROR(K9/J9,0)</f>
        <v>1.0046875</v>
      </c>
    </row>
    <row r="10" customFormat="false" ht="15" hidden="false" customHeight="false" outlineLevel="0" collapsed="false">
      <c r="A10" s="2" t="n">
        <v>10141</v>
      </c>
      <c r="B10" s="3" t="s">
        <v>119</v>
      </c>
      <c r="C10" s="3" t="s">
        <v>111</v>
      </c>
      <c r="D10" s="4" t="n">
        <v>0.5</v>
      </c>
      <c r="E10" s="4" t="n">
        <v>82</v>
      </c>
      <c r="F10" s="4" t="n">
        <v>0</v>
      </c>
      <c r="G10" s="4" t="n">
        <v>79</v>
      </c>
      <c r="H10" s="4" t="n">
        <v>0</v>
      </c>
      <c r="I10" s="5" t="n">
        <f aca="false">E10+G10</f>
        <v>161</v>
      </c>
      <c r="J10" s="4" t="n">
        <v>320</v>
      </c>
      <c r="K10" s="4" t="n">
        <v>311</v>
      </c>
      <c r="L10" s="5" t="n">
        <f aca="false">K10-J10</f>
        <v>-9</v>
      </c>
      <c r="M10" s="4" t="n">
        <v>306</v>
      </c>
      <c r="N10" s="5" t="n">
        <f aca="false">M10-H10</f>
        <v>306</v>
      </c>
      <c r="O10" s="4" t="n">
        <v>614</v>
      </c>
      <c r="P10" s="4" t="n">
        <v>320</v>
      </c>
      <c r="Q10" s="6" t="n">
        <f aca="false">IFERROR(K10/J10,0)</f>
        <v>0.971875</v>
      </c>
    </row>
    <row r="11" customFormat="false" ht="15" hidden="false" customHeight="false" outlineLevel="0" collapsed="false">
      <c r="A11" s="2" t="n">
        <v>10142</v>
      </c>
      <c r="B11" s="3" t="s">
        <v>120</v>
      </c>
      <c r="C11" s="3" t="s">
        <v>114</v>
      </c>
      <c r="D11" s="4" t="n">
        <v>1</v>
      </c>
      <c r="E11" s="4" t="n">
        <v>157</v>
      </c>
      <c r="F11" s="4" t="n">
        <v>0</v>
      </c>
      <c r="G11" s="4" t="n">
        <v>151</v>
      </c>
      <c r="H11" s="4" t="n">
        <v>0</v>
      </c>
      <c r="I11" s="5" t="n">
        <f aca="false">E11+G11</f>
        <v>308</v>
      </c>
      <c r="J11" s="4" t="n">
        <v>640</v>
      </c>
      <c r="K11" s="4" t="n">
        <v>640</v>
      </c>
      <c r="L11" s="5" t="n">
        <f aca="false">K11-J11</f>
        <v>0</v>
      </c>
      <c r="M11" s="4" t="n">
        <v>636</v>
      </c>
      <c r="N11" s="5" t="n">
        <f aca="false">M11-H11</f>
        <v>636</v>
      </c>
      <c r="O11" s="4" t="n">
        <v>1313</v>
      </c>
      <c r="P11" s="4" t="n">
        <v>640</v>
      </c>
      <c r="Q11" s="6" t="n">
        <f aca="false">IFERROR(K11/J11,0)</f>
        <v>1</v>
      </c>
    </row>
    <row r="12" customFormat="false" ht="15" hidden="false" customHeight="false" outlineLevel="0" collapsed="false">
      <c r="A12" s="2" t="n">
        <v>10143</v>
      </c>
      <c r="B12" s="3" t="s">
        <v>121</v>
      </c>
      <c r="C12" s="3" t="s">
        <v>122</v>
      </c>
      <c r="D12" s="4" t="n">
        <v>1</v>
      </c>
      <c r="E12" s="4" t="n">
        <v>107</v>
      </c>
      <c r="F12" s="4" t="n">
        <v>0</v>
      </c>
      <c r="G12" s="4" t="n">
        <v>112</v>
      </c>
      <c r="H12" s="4" t="n">
        <v>0</v>
      </c>
      <c r="I12" s="5" t="n">
        <f aca="false">E12+G12</f>
        <v>219</v>
      </c>
      <c r="J12" s="4" t="n">
        <v>640</v>
      </c>
      <c r="K12" s="4" t="n">
        <v>453</v>
      </c>
      <c r="L12" s="5" t="n">
        <f aca="false">K12-J12</f>
        <v>-187</v>
      </c>
      <c r="M12" s="4" t="n">
        <v>451</v>
      </c>
      <c r="N12" s="5" t="n">
        <f aca="false">M12-H12</f>
        <v>451</v>
      </c>
      <c r="O12" s="4" t="n">
        <v>884</v>
      </c>
      <c r="P12" s="4" t="n">
        <v>640</v>
      </c>
      <c r="Q12" s="6" t="n">
        <f aca="false">IFERROR(K12/J12,0)</f>
        <v>0.7078125</v>
      </c>
    </row>
    <row r="13" customFormat="false" ht="15" hidden="false" customHeight="false" outlineLevel="0" collapsed="false">
      <c r="A13" s="2" t="n">
        <v>10144</v>
      </c>
      <c r="B13" s="3" t="s">
        <v>123</v>
      </c>
      <c r="C13" s="3" t="s">
        <v>22</v>
      </c>
      <c r="D13" s="4" t="n">
        <v>1</v>
      </c>
      <c r="E13" s="4" t="n">
        <v>181</v>
      </c>
      <c r="F13" s="4" t="n">
        <v>8</v>
      </c>
      <c r="G13" s="4" t="n">
        <v>193</v>
      </c>
      <c r="H13" s="4" t="n">
        <v>0</v>
      </c>
      <c r="I13" s="5" t="n">
        <f aca="false">E13+G13</f>
        <v>374</v>
      </c>
      <c r="J13" s="4" t="n">
        <v>640</v>
      </c>
      <c r="K13" s="4" t="n">
        <v>714</v>
      </c>
      <c r="L13" s="5" t="n">
        <f aca="false">K13-J13</f>
        <v>74</v>
      </c>
      <c r="M13" s="4" t="n">
        <v>700</v>
      </c>
      <c r="N13" s="5" t="n">
        <f aca="false">M13-H13</f>
        <v>700</v>
      </c>
      <c r="O13" s="4" t="n">
        <v>1491</v>
      </c>
      <c r="P13" s="4" t="n">
        <v>640</v>
      </c>
      <c r="Q13" s="6" t="n">
        <f aca="false">IFERROR(K13/J13,0)</f>
        <v>1.115625</v>
      </c>
    </row>
    <row r="14" customFormat="false" ht="15" hidden="false" customHeight="false" outlineLevel="0" collapsed="false">
      <c r="A14" s="2" t="n">
        <v>10145</v>
      </c>
      <c r="B14" s="3" t="s">
        <v>124</v>
      </c>
      <c r="C14" s="3" t="s">
        <v>31</v>
      </c>
      <c r="D14" s="4" t="n">
        <v>0.8</v>
      </c>
      <c r="E14" s="4" t="n">
        <v>94</v>
      </c>
      <c r="F14" s="4" t="n">
        <v>8</v>
      </c>
      <c r="G14" s="4" t="n">
        <v>96</v>
      </c>
      <c r="H14" s="4" t="n">
        <v>8</v>
      </c>
      <c r="I14" s="5" t="n">
        <f aca="false">E14+G14</f>
        <v>190</v>
      </c>
      <c r="J14" s="4" t="n">
        <v>512</v>
      </c>
      <c r="K14" s="4" t="n">
        <v>411</v>
      </c>
      <c r="L14" s="5" t="n">
        <f aca="false">K14-J14</f>
        <v>-101</v>
      </c>
      <c r="M14" s="4" t="n">
        <v>420</v>
      </c>
      <c r="N14" s="5" t="n">
        <f aca="false">M14-H14</f>
        <v>412</v>
      </c>
      <c r="O14" s="4" t="n">
        <v>858</v>
      </c>
      <c r="P14" s="4" t="n">
        <v>512</v>
      </c>
      <c r="Q14" s="6" t="n">
        <f aca="false">IFERROR(K14/J14,0)</f>
        <v>0.802734375</v>
      </c>
    </row>
    <row r="15" customFormat="false" ht="15" hidden="false" customHeight="false" outlineLevel="0" collapsed="false">
      <c r="A15" s="2" t="n">
        <v>10146</v>
      </c>
      <c r="B15" s="3" t="s">
        <v>125</v>
      </c>
      <c r="C15" s="3" t="s">
        <v>114</v>
      </c>
      <c r="D15" s="4" t="n">
        <v>1</v>
      </c>
      <c r="E15" s="4" t="n">
        <v>173</v>
      </c>
      <c r="F15" s="4" t="n">
        <v>8</v>
      </c>
      <c r="G15" s="4" t="n">
        <v>180</v>
      </c>
      <c r="H15" s="4" t="n">
        <v>0</v>
      </c>
      <c r="I15" s="5" t="n">
        <f aca="false">E15+G15</f>
        <v>353</v>
      </c>
      <c r="J15" s="4" t="n">
        <v>640</v>
      </c>
      <c r="K15" s="4" t="n">
        <v>679</v>
      </c>
      <c r="L15" s="5" t="n">
        <f aca="false">K15-J15</f>
        <v>39</v>
      </c>
      <c r="M15" s="4" t="n">
        <v>687</v>
      </c>
      <c r="N15" s="5" t="n">
        <f aca="false">M15-H15</f>
        <v>687</v>
      </c>
      <c r="O15" s="4" t="n">
        <v>1378</v>
      </c>
      <c r="P15" s="4" t="n">
        <v>640</v>
      </c>
      <c r="Q15" s="6" t="n">
        <f aca="false">IFERROR(K15/J15,0)</f>
        <v>1.0609375</v>
      </c>
    </row>
    <row r="16" customFormat="false" ht="15" hidden="false" customHeight="false" outlineLevel="0" collapsed="false">
      <c r="A16" s="2" t="n">
        <v>10147</v>
      </c>
      <c r="B16" s="3" t="s">
        <v>126</v>
      </c>
      <c r="C16" s="3" t="s">
        <v>22</v>
      </c>
      <c r="D16" s="4" t="n">
        <v>0.8</v>
      </c>
      <c r="E16" s="4" t="n">
        <v>98</v>
      </c>
      <c r="F16" s="4" t="n">
        <v>0</v>
      </c>
      <c r="G16" s="4" t="n">
        <v>102</v>
      </c>
      <c r="H16" s="4" t="n">
        <v>16</v>
      </c>
      <c r="I16" s="5" t="n">
        <f aca="false">E16+G16</f>
        <v>200</v>
      </c>
      <c r="J16" s="4" t="n">
        <v>512</v>
      </c>
      <c r="K16" s="4" t="n">
        <v>425</v>
      </c>
      <c r="L16" s="5" t="n">
        <f aca="false">K16-J16</f>
        <v>-87</v>
      </c>
      <c r="M16" s="4" t="n">
        <v>430</v>
      </c>
      <c r="N16" s="5" t="n">
        <f aca="false">M16-H16</f>
        <v>414</v>
      </c>
      <c r="O16" s="4" t="n">
        <v>840</v>
      </c>
      <c r="P16" s="4" t="n">
        <v>512</v>
      </c>
      <c r="Q16" s="6" t="n">
        <f aca="false">IFERROR(K16/J16,0)</f>
        <v>0.830078125</v>
      </c>
    </row>
    <row r="17" customFormat="false" ht="15" hidden="false" customHeight="false" outlineLevel="0" collapsed="false">
      <c r="A17" s="2" t="n">
        <v>10148</v>
      </c>
      <c r="B17" s="3" t="s">
        <v>127</v>
      </c>
      <c r="C17" s="3" t="s">
        <v>31</v>
      </c>
      <c r="D17" s="4" t="n">
        <v>0.75</v>
      </c>
      <c r="E17" s="4" t="n">
        <v>136</v>
      </c>
      <c r="F17" s="4" t="n">
        <v>0</v>
      </c>
      <c r="G17" s="4" t="n">
        <v>133</v>
      </c>
      <c r="H17" s="4" t="n">
        <v>24</v>
      </c>
      <c r="I17" s="5" t="n">
        <f aca="false">E17+G17</f>
        <v>269</v>
      </c>
      <c r="J17" s="4" t="n">
        <v>480</v>
      </c>
      <c r="K17" s="4" t="n">
        <v>532</v>
      </c>
      <c r="L17" s="5" t="n">
        <f aca="false">K17-J17</f>
        <v>52</v>
      </c>
      <c r="M17" s="4" t="n">
        <v>538</v>
      </c>
      <c r="N17" s="5" t="n">
        <f aca="false">M17-H17</f>
        <v>514</v>
      </c>
      <c r="O17" s="4" t="n">
        <v>1049</v>
      </c>
      <c r="P17" s="4" t="n">
        <v>480</v>
      </c>
      <c r="Q17" s="6" t="n">
        <f aca="false">IFERROR(K17/J17,0)</f>
        <v>1.10833333333333</v>
      </c>
    </row>
    <row r="18" customFormat="false" ht="15" hidden="false" customHeight="false" outlineLevel="0" collapsed="false">
      <c r="A18" s="2" t="n">
        <v>10149</v>
      </c>
      <c r="B18" s="3" t="s">
        <v>128</v>
      </c>
      <c r="C18" s="3" t="s">
        <v>31</v>
      </c>
      <c r="D18" s="4" t="n">
        <v>1</v>
      </c>
      <c r="E18" s="4" t="n">
        <v>129</v>
      </c>
      <c r="F18" s="4" t="n">
        <v>0</v>
      </c>
      <c r="G18" s="4" t="n">
        <v>139</v>
      </c>
      <c r="H18" s="4" t="n">
        <v>0</v>
      </c>
      <c r="I18" s="5" t="n">
        <f aca="false">E18+G18</f>
        <v>268</v>
      </c>
      <c r="J18" s="4" t="n">
        <v>640</v>
      </c>
      <c r="K18" s="4" t="n">
        <v>540</v>
      </c>
      <c r="L18" s="5" t="n">
        <f aca="false">K18-J18</f>
        <v>-100</v>
      </c>
      <c r="M18" s="4" t="n">
        <v>547</v>
      </c>
      <c r="N18" s="5" t="n">
        <f aca="false">M18-H18</f>
        <v>547</v>
      </c>
      <c r="O18" s="4" t="n">
        <v>1132</v>
      </c>
      <c r="P18" s="4" t="n">
        <v>640</v>
      </c>
      <c r="Q18" s="6" t="n">
        <f aca="false">IFERROR(K18/J18,0)</f>
        <v>0.84375</v>
      </c>
    </row>
    <row r="19" customFormat="false" ht="15" hidden="false" customHeight="false" outlineLevel="0" collapsed="false">
      <c r="A19" s="2" t="n">
        <v>10150</v>
      </c>
      <c r="B19" s="3" t="s">
        <v>129</v>
      </c>
      <c r="C19" s="3" t="s">
        <v>31</v>
      </c>
      <c r="D19" s="4" t="n">
        <v>0.5</v>
      </c>
      <c r="E19" s="4" t="n">
        <v>76</v>
      </c>
      <c r="F19" s="4" t="n">
        <v>0</v>
      </c>
      <c r="G19" s="4" t="n">
        <v>71</v>
      </c>
      <c r="H19" s="4" t="n">
        <v>0</v>
      </c>
      <c r="I19" s="5" t="n">
        <f aca="false">E19+G19</f>
        <v>147</v>
      </c>
      <c r="J19" s="4" t="n">
        <v>320</v>
      </c>
      <c r="K19" s="4" t="n">
        <v>317</v>
      </c>
      <c r="L19" s="5" t="n">
        <f aca="false">K19-J19</f>
        <v>-3</v>
      </c>
      <c r="M19" s="4" t="n">
        <v>320</v>
      </c>
      <c r="N19" s="5" t="n">
        <f aca="false">M19-H19</f>
        <v>320</v>
      </c>
      <c r="O19" s="4" t="n">
        <v>642</v>
      </c>
      <c r="P19" s="4" t="n">
        <v>320</v>
      </c>
      <c r="Q19" s="6" t="n">
        <f aca="false">IFERROR(K19/J19,0)</f>
        <v>0.990625</v>
      </c>
    </row>
    <row r="20" customFormat="false" ht="15" hidden="false" customHeight="false" outlineLevel="0" collapsed="false">
      <c r="A20" s="2" t="n">
        <v>10151</v>
      </c>
      <c r="B20" s="3" t="s">
        <v>130</v>
      </c>
      <c r="C20" s="3" t="s">
        <v>114</v>
      </c>
      <c r="D20" s="4" t="n">
        <v>0.8</v>
      </c>
      <c r="E20" s="4" t="n">
        <v>121</v>
      </c>
      <c r="F20" s="4" t="n">
        <v>0</v>
      </c>
      <c r="G20" s="4" t="n">
        <v>111</v>
      </c>
      <c r="H20" s="4" t="n">
        <v>8</v>
      </c>
      <c r="I20" s="5" t="n">
        <f aca="false">E20+G20</f>
        <v>232</v>
      </c>
      <c r="J20" s="4" t="n">
        <v>512</v>
      </c>
      <c r="K20" s="4" t="n">
        <v>449</v>
      </c>
      <c r="L20" s="5" t="n">
        <f aca="false">K20-J20</f>
        <v>-63</v>
      </c>
      <c r="M20" s="4" t="n">
        <v>448</v>
      </c>
      <c r="N20" s="5" t="n">
        <f aca="false">M20-H20</f>
        <v>440</v>
      </c>
      <c r="O20" s="4" t="n">
        <v>937</v>
      </c>
      <c r="P20" s="4" t="n">
        <v>512</v>
      </c>
      <c r="Q20" s="6" t="n">
        <f aca="false">IFERROR(K20/J20,0)</f>
        <v>0.876953125</v>
      </c>
    </row>
    <row r="21" customFormat="false" ht="15" hidden="false" customHeight="false" outlineLevel="0" collapsed="false">
      <c r="A21" s="2" t="n">
        <v>10152</v>
      </c>
      <c r="B21" s="3" t="s">
        <v>131</v>
      </c>
      <c r="C21" s="3" t="s">
        <v>111</v>
      </c>
      <c r="D21" s="4" t="n">
        <v>0.8</v>
      </c>
      <c r="E21" s="4" t="n">
        <v>116</v>
      </c>
      <c r="F21" s="4" t="n">
        <v>0</v>
      </c>
      <c r="G21" s="4" t="n">
        <v>115</v>
      </c>
      <c r="H21" s="4" t="n">
        <v>0</v>
      </c>
      <c r="I21" s="5" t="n">
        <f aca="false">E21+G21</f>
        <v>231</v>
      </c>
      <c r="J21" s="4" t="n">
        <v>512</v>
      </c>
      <c r="K21" s="4" t="n">
        <v>474</v>
      </c>
      <c r="L21" s="5" t="n">
        <f aca="false">K21-J21</f>
        <v>-38</v>
      </c>
      <c r="M21" s="4" t="n">
        <v>485</v>
      </c>
      <c r="N21" s="5" t="n">
        <f aca="false">M21-H21</f>
        <v>485</v>
      </c>
      <c r="O21" s="4" t="n">
        <v>993</v>
      </c>
      <c r="P21" s="4" t="n">
        <v>512</v>
      </c>
      <c r="Q21" s="6" t="n">
        <f aca="false">IFERROR(K21/J21,0)</f>
        <v>0.92578125</v>
      </c>
    </row>
    <row r="22" customFormat="false" ht="15" hidden="false" customHeight="false" outlineLevel="0" collapsed="false">
      <c r="A22" s="2" t="n">
        <v>10153</v>
      </c>
      <c r="B22" s="3" t="s">
        <v>132</v>
      </c>
      <c r="C22" s="3" t="s">
        <v>22</v>
      </c>
      <c r="D22" s="4" t="n">
        <v>1</v>
      </c>
      <c r="E22" s="4" t="n">
        <v>179</v>
      </c>
      <c r="F22" s="4" t="n">
        <v>0</v>
      </c>
      <c r="G22" s="4" t="n">
        <v>183</v>
      </c>
      <c r="H22" s="4" t="n">
        <v>30</v>
      </c>
      <c r="I22" s="5" t="n">
        <f aca="false">E22+G22</f>
        <v>362</v>
      </c>
      <c r="J22" s="4" t="n">
        <v>640</v>
      </c>
      <c r="K22" s="4" t="n">
        <v>701</v>
      </c>
      <c r="L22" s="5" t="n">
        <f aca="false">K22-J22</f>
        <v>61</v>
      </c>
      <c r="M22" s="4" t="n">
        <v>698</v>
      </c>
      <c r="N22" s="5" t="n">
        <f aca="false">M22-H22</f>
        <v>668</v>
      </c>
      <c r="O22" s="4" t="n">
        <v>1407</v>
      </c>
      <c r="P22" s="4" t="n">
        <v>640</v>
      </c>
      <c r="Q22" s="6" t="n">
        <f aca="false">IFERROR(K22/J22,0)</f>
        <v>1.0953125</v>
      </c>
    </row>
    <row r="23" customFormat="false" ht="15" hidden="false" customHeight="false" outlineLevel="0" collapsed="false">
      <c r="A23" s="2" t="n">
        <v>10154</v>
      </c>
      <c r="B23" s="3" t="s">
        <v>133</v>
      </c>
      <c r="C23" s="3" t="s">
        <v>114</v>
      </c>
      <c r="D23" s="4" t="n">
        <v>0.5</v>
      </c>
      <c r="E23" s="4" t="n">
        <v>58</v>
      </c>
      <c r="F23" s="4" t="n">
        <v>0</v>
      </c>
      <c r="G23" s="4" t="n">
        <v>53</v>
      </c>
      <c r="H23" s="4" t="n">
        <v>16</v>
      </c>
      <c r="I23" s="5" t="n">
        <f aca="false">E23+G23</f>
        <v>111</v>
      </c>
      <c r="J23" s="4" t="n">
        <v>320</v>
      </c>
      <c r="K23" s="4" t="n">
        <v>229</v>
      </c>
      <c r="L23" s="5" t="n">
        <f aca="false">K23-J23</f>
        <v>-91</v>
      </c>
      <c r="M23" s="4" t="n">
        <v>227</v>
      </c>
      <c r="N23" s="5" t="n">
        <f aca="false">M23-H23</f>
        <v>211</v>
      </c>
      <c r="O23" s="4" t="n">
        <v>481</v>
      </c>
      <c r="P23" s="4" t="n">
        <v>320</v>
      </c>
      <c r="Q23" s="6" t="n">
        <f aca="false">IFERROR(K23/J23,0)</f>
        <v>0.715625</v>
      </c>
    </row>
    <row r="24" customFormat="false" ht="15" hidden="false" customHeight="false" outlineLevel="0" collapsed="false">
      <c r="A24" s="2" t="n">
        <v>10155</v>
      </c>
      <c r="B24" s="3" t="s">
        <v>134</v>
      </c>
      <c r="C24" s="3" t="s">
        <v>122</v>
      </c>
      <c r="D24" s="4" t="n">
        <v>1</v>
      </c>
      <c r="E24" s="4" t="n">
        <v>166</v>
      </c>
      <c r="F24" s="4" t="n">
        <v>0</v>
      </c>
      <c r="G24" s="4" t="n">
        <v>157</v>
      </c>
      <c r="H24" s="4" t="n">
        <v>8</v>
      </c>
      <c r="I24" s="5" t="n">
        <f aca="false">E24+G24</f>
        <v>323</v>
      </c>
      <c r="J24" s="4" t="n">
        <v>640</v>
      </c>
      <c r="K24" s="4" t="n">
        <v>630</v>
      </c>
      <c r="L24" s="5" t="n">
        <f aca="false">K24-J24</f>
        <v>-10</v>
      </c>
      <c r="M24" s="4" t="n">
        <v>622</v>
      </c>
      <c r="N24" s="5" t="n">
        <f aca="false">M24-H24</f>
        <v>614</v>
      </c>
      <c r="O24" s="4" t="n">
        <v>1246</v>
      </c>
      <c r="P24" s="4" t="n">
        <v>640</v>
      </c>
      <c r="Q24" s="6" t="n">
        <f aca="false">IFERROR(K24/J24,0)</f>
        <v>0.984375</v>
      </c>
    </row>
    <row r="25" customFormat="false" ht="15" hidden="false" customHeight="false" outlineLevel="0" collapsed="false">
      <c r="A25" s="2" t="n">
        <v>10156</v>
      </c>
      <c r="B25" s="3" t="s">
        <v>135</v>
      </c>
      <c r="C25" s="3" t="s">
        <v>22</v>
      </c>
      <c r="D25" s="4" t="n">
        <v>1</v>
      </c>
      <c r="E25" s="4" t="n">
        <v>160</v>
      </c>
      <c r="F25" s="4" t="n">
        <v>4</v>
      </c>
      <c r="G25" s="4" t="n">
        <v>158</v>
      </c>
      <c r="H25" s="4" t="n">
        <v>16</v>
      </c>
      <c r="I25" s="5" t="n">
        <f aca="false">E25+G25</f>
        <v>318</v>
      </c>
      <c r="J25" s="4" t="n">
        <v>640</v>
      </c>
      <c r="K25" s="4" t="n">
        <v>592</v>
      </c>
      <c r="L25" s="5" t="n">
        <f aca="false">K25-J25</f>
        <v>-48</v>
      </c>
      <c r="M25" s="4" t="n">
        <v>587</v>
      </c>
      <c r="N25" s="5" t="n">
        <f aca="false">M25-H25</f>
        <v>571</v>
      </c>
      <c r="O25" s="4" t="n">
        <v>1176</v>
      </c>
      <c r="P25" s="4" t="n">
        <v>640</v>
      </c>
      <c r="Q25" s="6" t="n">
        <f aca="false">IFERROR(K25/J25,0)</f>
        <v>0.925</v>
      </c>
    </row>
    <row r="26" customFormat="false" ht="15" hidden="false" customHeight="false" outlineLevel="0" collapsed="false">
      <c r="A26" s="2" t="n">
        <v>10157</v>
      </c>
      <c r="B26" s="3" t="s">
        <v>136</v>
      </c>
      <c r="C26" s="3" t="s">
        <v>22</v>
      </c>
      <c r="D26" s="4" t="n">
        <v>0.8</v>
      </c>
      <c r="E26" s="4" t="n">
        <v>132</v>
      </c>
      <c r="F26" s="4" t="n">
        <v>0</v>
      </c>
      <c r="G26" s="4" t="n">
        <v>132</v>
      </c>
      <c r="H26" s="4" t="n">
        <v>0</v>
      </c>
      <c r="I26" s="5" t="n">
        <f aca="false">E26+G26</f>
        <v>264</v>
      </c>
      <c r="J26" s="4" t="n">
        <v>512</v>
      </c>
      <c r="K26" s="4" t="n">
        <v>506</v>
      </c>
      <c r="L26" s="5" t="n">
        <f aca="false">K26-J26</f>
        <v>-6</v>
      </c>
      <c r="M26" s="4" t="n">
        <v>501</v>
      </c>
      <c r="N26" s="5" t="n">
        <f aca="false">M26-H26</f>
        <v>501</v>
      </c>
      <c r="O26" s="4" t="n">
        <v>1033</v>
      </c>
      <c r="P26" s="4" t="n">
        <v>512</v>
      </c>
      <c r="Q26" s="6" t="n">
        <f aca="false">IFERROR(K26/J26,0)</f>
        <v>0.98828125</v>
      </c>
    </row>
    <row r="27" customFormat="false" ht="15" hidden="false" customHeight="false" outlineLevel="0" collapsed="false">
      <c r="A27" s="2" t="n">
        <v>10158</v>
      </c>
      <c r="B27" s="3" t="s">
        <v>137</v>
      </c>
      <c r="C27" s="3" t="s">
        <v>114</v>
      </c>
      <c r="D27" s="4" t="n">
        <v>0.75</v>
      </c>
      <c r="E27" s="4" t="n">
        <v>132</v>
      </c>
      <c r="F27" s="4" t="n">
        <v>4</v>
      </c>
      <c r="G27" s="4" t="n">
        <v>137</v>
      </c>
      <c r="H27" s="4" t="n">
        <v>0</v>
      </c>
      <c r="I27" s="5" t="n">
        <f aca="false">E27+G27</f>
        <v>269</v>
      </c>
      <c r="J27" s="4" t="n">
        <v>480</v>
      </c>
      <c r="K27" s="4" t="n">
        <v>510</v>
      </c>
      <c r="L27" s="5" t="n">
        <f aca="false">K27-J27</f>
        <v>30</v>
      </c>
      <c r="M27" s="4" t="n">
        <v>523</v>
      </c>
      <c r="N27" s="5" t="n">
        <f aca="false">M27-H27</f>
        <v>523</v>
      </c>
      <c r="O27" s="4" t="n">
        <v>1006</v>
      </c>
      <c r="P27" s="4" t="n">
        <v>480</v>
      </c>
      <c r="Q27" s="6" t="n">
        <f aca="false">IFERROR(K27/J27,0)</f>
        <v>1.0625</v>
      </c>
    </row>
    <row r="28" customFormat="false" ht="15" hidden="false" customHeight="false" outlineLevel="0" collapsed="false">
      <c r="A28" s="2" t="n">
        <v>10159</v>
      </c>
      <c r="B28" s="3" t="s">
        <v>138</v>
      </c>
      <c r="C28" s="3" t="s">
        <v>122</v>
      </c>
      <c r="D28" s="4" t="n">
        <v>0.75</v>
      </c>
      <c r="E28" s="4" t="n">
        <v>120</v>
      </c>
      <c r="F28" s="4" t="n">
        <v>0</v>
      </c>
      <c r="G28" s="4" t="n">
        <v>123</v>
      </c>
      <c r="H28" s="4" t="n">
        <v>0</v>
      </c>
      <c r="I28" s="5" t="n">
        <f aca="false">E28+G28</f>
        <v>243</v>
      </c>
      <c r="J28" s="4" t="n">
        <v>480</v>
      </c>
      <c r="K28" s="4" t="n">
        <v>495</v>
      </c>
      <c r="L28" s="5" t="n">
        <f aca="false">K28-J28</f>
        <v>15</v>
      </c>
      <c r="M28" s="4" t="n">
        <v>493</v>
      </c>
      <c r="N28" s="5" t="n">
        <f aca="false">M28-H28</f>
        <v>493</v>
      </c>
      <c r="O28" s="4" t="n">
        <v>973</v>
      </c>
      <c r="P28" s="4" t="n">
        <v>480</v>
      </c>
      <c r="Q28" s="6" t="n">
        <f aca="false">IFERROR(K28/J28,0)</f>
        <v>1.03125</v>
      </c>
    </row>
    <row r="29" customFormat="false" ht="15" hidden="false" customHeight="false" outlineLevel="0" collapsed="false">
      <c r="A29" s="2" t="n">
        <v>10160</v>
      </c>
      <c r="B29" s="3" t="s">
        <v>139</v>
      </c>
      <c r="C29" s="3" t="s">
        <v>22</v>
      </c>
      <c r="D29" s="4" t="n">
        <v>1</v>
      </c>
      <c r="E29" s="4" t="n">
        <v>146</v>
      </c>
      <c r="F29" s="4" t="n">
        <v>0</v>
      </c>
      <c r="G29" s="4" t="n">
        <v>142</v>
      </c>
      <c r="H29" s="4" t="n">
        <v>0</v>
      </c>
      <c r="I29" s="5" t="n">
        <f aca="false">E29+G29</f>
        <v>288</v>
      </c>
      <c r="J29" s="4" t="n">
        <v>640</v>
      </c>
      <c r="K29" s="4" t="n">
        <v>611</v>
      </c>
      <c r="L29" s="5" t="n">
        <f aca="false">K29-J29</f>
        <v>-29</v>
      </c>
      <c r="M29" s="4" t="n">
        <v>601</v>
      </c>
      <c r="N29" s="5" t="n">
        <f aca="false">M29-H29</f>
        <v>601</v>
      </c>
      <c r="O29" s="4" t="n">
        <v>1215</v>
      </c>
      <c r="P29" s="4" t="n">
        <v>640</v>
      </c>
      <c r="Q29" s="6" t="n">
        <f aca="false">IFERROR(K29/J29,0)</f>
        <v>0.9546875</v>
      </c>
    </row>
    <row r="30" customFormat="false" ht="15" hidden="false" customHeight="false" outlineLevel="0" collapsed="false">
      <c r="A30" s="2" t="n">
        <v>10161</v>
      </c>
      <c r="B30" s="3" t="s">
        <v>140</v>
      </c>
      <c r="C30" s="3" t="s">
        <v>111</v>
      </c>
      <c r="D30" s="4" t="n">
        <v>0.6</v>
      </c>
      <c r="E30" s="4" t="n">
        <v>82</v>
      </c>
      <c r="F30" s="4" t="n">
        <v>8</v>
      </c>
      <c r="G30" s="4" t="n">
        <v>84</v>
      </c>
      <c r="H30" s="4" t="n">
        <v>0</v>
      </c>
      <c r="I30" s="5" t="n">
        <f aca="false">E30+G30</f>
        <v>166</v>
      </c>
      <c r="J30" s="4" t="n">
        <v>384</v>
      </c>
      <c r="K30" s="4" t="n">
        <v>358</v>
      </c>
      <c r="L30" s="5" t="n">
        <f aca="false">K30-J30</f>
        <v>-26</v>
      </c>
      <c r="M30" s="4" t="n">
        <v>353</v>
      </c>
      <c r="N30" s="5" t="n">
        <f aca="false">M30-H30</f>
        <v>353</v>
      </c>
      <c r="O30" s="4" t="n">
        <v>747</v>
      </c>
      <c r="P30" s="4" t="n">
        <v>384</v>
      </c>
      <c r="Q30" s="6" t="n">
        <f aca="false">IFERROR(K30/J30,0)</f>
        <v>0.932291666666667</v>
      </c>
    </row>
    <row r="31" customFormat="false" ht="15" hidden="false" customHeight="false" outlineLevel="0" collapsed="false">
      <c r="A31" s="2" t="n">
        <v>10162</v>
      </c>
      <c r="B31" s="3" t="s">
        <v>141</v>
      </c>
      <c r="C31" s="3" t="s">
        <v>111</v>
      </c>
      <c r="D31" s="4" t="n">
        <v>0.5</v>
      </c>
      <c r="E31" s="4" t="n">
        <v>63</v>
      </c>
      <c r="F31" s="4" t="n">
        <v>0</v>
      </c>
      <c r="G31" s="4" t="n">
        <v>62</v>
      </c>
      <c r="H31" s="4" t="n">
        <v>8</v>
      </c>
      <c r="I31" s="5" t="n">
        <f aca="false">E31+G31</f>
        <v>125</v>
      </c>
      <c r="J31" s="4" t="n">
        <v>320</v>
      </c>
      <c r="K31" s="4" t="n">
        <v>257</v>
      </c>
      <c r="L31" s="5" t="n">
        <f aca="false">K31-J31</f>
        <v>-63</v>
      </c>
      <c r="M31" s="4" t="n">
        <v>259</v>
      </c>
      <c r="N31" s="5" t="n">
        <f aca="false">M31-H31</f>
        <v>251</v>
      </c>
      <c r="O31" s="4" t="n">
        <v>515</v>
      </c>
      <c r="P31" s="4" t="n">
        <v>320</v>
      </c>
      <c r="Q31" s="6" t="n">
        <f aca="false">IFERROR(K31/J31,0)</f>
        <v>0.803125</v>
      </c>
    </row>
    <row r="32" customFormat="false" ht="15" hidden="false" customHeight="false" outlineLevel="0" collapsed="false">
      <c r="A32" s="2" t="n">
        <v>10163</v>
      </c>
      <c r="B32" s="3" t="s">
        <v>142</v>
      </c>
      <c r="C32" s="3" t="s">
        <v>122</v>
      </c>
      <c r="D32" s="4" t="n">
        <v>0.5</v>
      </c>
      <c r="E32" s="4" t="n">
        <v>81</v>
      </c>
      <c r="F32" s="4" t="n">
        <v>0</v>
      </c>
      <c r="G32" s="4" t="n">
        <v>85</v>
      </c>
      <c r="H32" s="4" t="n">
        <v>16</v>
      </c>
      <c r="I32" s="5" t="n">
        <f aca="false">E32+G32</f>
        <v>166</v>
      </c>
      <c r="J32" s="4" t="n">
        <v>320</v>
      </c>
      <c r="K32" s="4" t="n">
        <v>309</v>
      </c>
      <c r="L32" s="5" t="n">
        <f aca="false">K32-J32</f>
        <v>-11</v>
      </c>
      <c r="M32" s="4" t="n">
        <v>308</v>
      </c>
      <c r="N32" s="5" t="n">
        <f aca="false">M32-H32</f>
        <v>292</v>
      </c>
      <c r="O32" s="4" t="n">
        <v>637</v>
      </c>
      <c r="P32" s="4" t="n">
        <v>320</v>
      </c>
      <c r="Q32" s="6" t="n">
        <f aca="false">IFERROR(K32/J32,0)</f>
        <v>0.965625</v>
      </c>
    </row>
    <row r="33" customFormat="false" ht="15" hidden="false" customHeight="false" outlineLevel="0" collapsed="false">
      <c r="A33" s="2" t="n">
        <v>10164</v>
      </c>
      <c r="B33" s="3" t="s">
        <v>143</v>
      </c>
      <c r="C33" s="3" t="s">
        <v>22</v>
      </c>
      <c r="D33" s="4" t="n">
        <v>0.6</v>
      </c>
      <c r="E33" s="4" t="n">
        <v>94</v>
      </c>
      <c r="F33" s="4" t="n">
        <v>8</v>
      </c>
      <c r="G33" s="4" t="n">
        <v>100</v>
      </c>
      <c r="H33" s="4" t="n">
        <v>0</v>
      </c>
      <c r="I33" s="5" t="n">
        <f aca="false">E33+G33</f>
        <v>194</v>
      </c>
      <c r="J33" s="4" t="n">
        <v>384</v>
      </c>
      <c r="K33" s="4" t="n">
        <v>369</v>
      </c>
      <c r="L33" s="5" t="n">
        <f aca="false">K33-J33</f>
        <v>-15</v>
      </c>
      <c r="M33" s="4" t="n">
        <v>374</v>
      </c>
      <c r="N33" s="5" t="n">
        <f aca="false">M33-H33</f>
        <v>374</v>
      </c>
      <c r="O33" s="4" t="n">
        <v>755</v>
      </c>
      <c r="P33" s="4" t="n">
        <v>384</v>
      </c>
      <c r="Q33" s="6" t="n">
        <f aca="false">IFERROR(K33/J33,0)</f>
        <v>0.9609375</v>
      </c>
    </row>
    <row r="34" customFormat="false" ht="15" hidden="false" customHeight="false" outlineLevel="0" collapsed="false">
      <c r="A34" s="2" t="n">
        <v>10165</v>
      </c>
      <c r="B34" s="3" t="s">
        <v>144</v>
      </c>
      <c r="C34" s="3" t="s">
        <v>122</v>
      </c>
      <c r="D34" s="4" t="n">
        <v>0.75</v>
      </c>
      <c r="E34" s="4" t="n">
        <v>132</v>
      </c>
      <c r="F34" s="4" t="n">
        <v>0</v>
      </c>
      <c r="G34" s="4" t="n">
        <v>136</v>
      </c>
      <c r="H34" s="4" t="n">
        <v>24</v>
      </c>
      <c r="I34" s="5" t="n">
        <f aca="false">E34+G34</f>
        <v>268</v>
      </c>
      <c r="J34" s="4" t="n">
        <v>480</v>
      </c>
      <c r="K34" s="4" t="n">
        <v>553</v>
      </c>
      <c r="L34" s="5" t="n">
        <f aca="false">K34-J34</f>
        <v>73</v>
      </c>
      <c r="M34" s="4" t="n">
        <v>555</v>
      </c>
      <c r="N34" s="5" t="n">
        <f aca="false">M34-H34</f>
        <v>531</v>
      </c>
      <c r="O34" s="4" t="n">
        <v>1081</v>
      </c>
      <c r="P34" s="4" t="n">
        <v>480</v>
      </c>
      <c r="Q34" s="6" t="n">
        <f aca="false">IFERROR(K34/J34,0)</f>
        <v>1.15208333333333</v>
      </c>
    </row>
    <row r="35" customFormat="false" ht="15" hidden="false" customHeight="false" outlineLevel="0" collapsed="false">
      <c r="A35" s="2" t="n">
        <v>10166</v>
      </c>
      <c r="B35" s="3" t="s">
        <v>145</v>
      </c>
      <c r="C35" s="3" t="s">
        <v>114</v>
      </c>
      <c r="D35" s="4" t="n">
        <v>0.8</v>
      </c>
      <c r="E35" s="4" t="n">
        <v>114</v>
      </c>
      <c r="F35" s="4" t="n">
        <v>0</v>
      </c>
      <c r="G35" s="4" t="n">
        <v>115</v>
      </c>
      <c r="H35" s="4" t="n">
        <v>0</v>
      </c>
      <c r="I35" s="5" t="n">
        <f aca="false">E35+G35</f>
        <v>229</v>
      </c>
      <c r="J35" s="4" t="n">
        <v>512</v>
      </c>
      <c r="K35" s="4" t="n">
        <v>438</v>
      </c>
      <c r="L35" s="5" t="n">
        <f aca="false">K35-J35</f>
        <v>-74</v>
      </c>
      <c r="M35" s="4" t="n">
        <v>450</v>
      </c>
      <c r="N35" s="5" t="n">
        <f aca="false">M35-H35</f>
        <v>450</v>
      </c>
      <c r="O35" s="4" t="n">
        <v>876</v>
      </c>
      <c r="P35" s="4" t="n">
        <v>512</v>
      </c>
      <c r="Q35" s="6" t="n">
        <f aca="false">IFERROR(K35/J35,0)</f>
        <v>0.85546875</v>
      </c>
    </row>
    <row r="36" customFormat="false" ht="15" hidden="false" customHeight="false" outlineLevel="0" collapsed="false">
      <c r="A36" s="2" t="n">
        <v>10167</v>
      </c>
      <c r="B36" s="3" t="s">
        <v>146</v>
      </c>
      <c r="C36" s="3" t="s">
        <v>114</v>
      </c>
      <c r="D36" s="4" t="n">
        <v>0.75</v>
      </c>
      <c r="E36" s="4" t="n">
        <v>90</v>
      </c>
      <c r="F36" s="4" t="n">
        <v>16</v>
      </c>
      <c r="G36" s="4" t="n">
        <v>92</v>
      </c>
      <c r="H36" s="4" t="n">
        <v>0</v>
      </c>
      <c r="I36" s="5" t="n">
        <f aca="false">E36+G36</f>
        <v>182</v>
      </c>
      <c r="J36" s="4" t="n">
        <v>480</v>
      </c>
      <c r="K36" s="4" t="n">
        <v>368</v>
      </c>
      <c r="L36" s="5" t="n">
        <f aca="false">K36-J36</f>
        <v>-112</v>
      </c>
      <c r="M36" s="4" t="n">
        <v>366</v>
      </c>
      <c r="N36" s="5" t="n">
        <f aca="false">M36-H36</f>
        <v>366</v>
      </c>
      <c r="O36" s="4" t="n">
        <v>723</v>
      </c>
      <c r="P36" s="4" t="n">
        <v>480</v>
      </c>
      <c r="Q36" s="6" t="n">
        <f aca="false">IFERROR(K36/J36,0)</f>
        <v>0.766666666666667</v>
      </c>
    </row>
    <row r="37" customFormat="false" ht="15" hidden="false" customHeight="false" outlineLevel="0" collapsed="false">
      <c r="A37" s="2" t="n">
        <v>10168</v>
      </c>
      <c r="B37" s="3" t="s">
        <v>147</v>
      </c>
      <c r="C37" s="3" t="s">
        <v>22</v>
      </c>
      <c r="D37" s="4" t="n">
        <v>1</v>
      </c>
      <c r="E37" s="4" t="n">
        <v>162</v>
      </c>
      <c r="F37" s="4" t="n">
        <v>12</v>
      </c>
      <c r="G37" s="4" t="n">
        <v>157</v>
      </c>
      <c r="H37" s="4" t="n">
        <v>8</v>
      </c>
      <c r="I37" s="5" t="n">
        <f aca="false">E37+G37</f>
        <v>319</v>
      </c>
      <c r="J37" s="4" t="n">
        <v>640</v>
      </c>
      <c r="K37" s="4" t="n">
        <v>644</v>
      </c>
      <c r="L37" s="5" t="n">
        <f aca="false">K37-J37</f>
        <v>4</v>
      </c>
      <c r="M37" s="4" t="n">
        <v>645</v>
      </c>
      <c r="N37" s="5" t="n">
        <f aca="false">M37-H37</f>
        <v>637</v>
      </c>
      <c r="O37" s="4" t="n">
        <v>1318</v>
      </c>
      <c r="P37" s="4" t="n">
        <v>640</v>
      </c>
      <c r="Q37" s="6" t="n">
        <f aca="false">IFERROR(K37/J37,0)</f>
        <v>1.00625</v>
      </c>
    </row>
    <row r="38" customFormat="false" ht="15" hidden="false" customHeight="false" outlineLevel="0" collapsed="false">
      <c r="A38" s="2" t="n">
        <v>10169</v>
      </c>
      <c r="B38" s="3" t="s">
        <v>148</v>
      </c>
      <c r="C38" s="3" t="s">
        <v>114</v>
      </c>
      <c r="D38" s="4" t="n">
        <v>0.8</v>
      </c>
      <c r="E38" s="4" t="n">
        <v>139</v>
      </c>
      <c r="F38" s="4" t="n">
        <v>8</v>
      </c>
      <c r="G38" s="4" t="n">
        <v>136</v>
      </c>
      <c r="H38" s="4" t="n">
        <v>0</v>
      </c>
      <c r="I38" s="5" t="n">
        <f aca="false">E38+G38</f>
        <v>275</v>
      </c>
      <c r="J38" s="4" t="n">
        <v>512</v>
      </c>
      <c r="K38" s="4" t="n">
        <v>583</v>
      </c>
      <c r="L38" s="5" t="n">
        <f aca="false">K38-J38</f>
        <v>71</v>
      </c>
      <c r="M38" s="4" t="n">
        <v>573</v>
      </c>
      <c r="N38" s="5" t="n">
        <f aca="false">M38-H38</f>
        <v>573</v>
      </c>
      <c r="O38" s="4" t="n">
        <v>1205</v>
      </c>
      <c r="P38" s="4" t="n">
        <v>512</v>
      </c>
      <c r="Q38" s="6" t="n">
        <f aca="false">IFERROR(K38/J38,0)</f>
        <v>1.138671875</v>
      </c>
    </row>
    <row r="39" customFormat="false" ht="15" hidden="false" customHeight="false" outlineLevel="0" collapsed="false">
      <c r="A39" s="2" t="n">
        <v>10170</v>
      </c>
      <c r="B39" s="3" t="s">
        <v>149</v>
      </c>
      <c r="C39" s="3" t="s">
        <v>31</v>
      </c>
      <c r="D39" s="4" t="n">
        <v>0.6</v>
      </c>
      <c r="E39" s="4" t="n">
        <v>86</v>
      </c>
      <c r="F39" s="4" t="n">
        <v>0</v>
      </c>
      <c r="G39" s="4" t="n">
        <v>92</v>
      </c>
      <c r="H39" s="4" t="n">
        <v>0</v>
      </c>
      <c r="I39" s="5" t="n">
        <f aca="false">E39+G39</f>
        <v>178</v>
      </c>
      <c r="J39" s="4" t="n">
        <v>384</v>
      </c>
      <c r="K39" s="4" t="n">
        <v>360</v>
      </c>
      <c r="L39" s="5" t="n">
        <f aca="false">K39-J39</f>
        <v>-24</v>
      </c>
      <c r="M39" s="4" t="n">
        <v>358</v>
      </c>
      <c r="N39" s="5" t="n">
        <f aca="false">M39-H39</f>
        <v>358</v>
      </c>
      <c r="O39" s="4" t="n">
        <v>717</v>
      </c>
      <c r="P39" s="4" t="n">
        <v>384</v>
      </c>
      <c r="Q39" s="6" t="n">
        <f aca="false">IFERROR(K39/J39,0)</f>
        <v>0.9375</v>
      </c>
    </row>
    <row r="40" customFormat="false" ht="15" hidden="false" customHeight="false" outlineLevel="0" collapsed="false">
      <c r="A40" s="2" t="n">
        <v>10171</v>
      </c>
      <c r="B40" s="3" t="s">
        <v>150</v>
      </c>
      <c r="C40" s="3" t="s">
        <v>31</v>
      </c>
      <c r="D40" s="4" t="n">
        <v>1</v>
      </c>
      <c r="E40" s="4" t="n">
        <v>121</v>
      </c>
      <c r="F40" s="4" t="n">
        <v>16</v>
      </c>
      <c r="G40" s="4" t="n">
        <v>122</v>
      </c>
      <c r="H40" s="4" t="n">
        <v>0</v>
      </c>
      <c r="I40" s="5" t="n">
        <f aca="false">E40+G40</f>
        <v>243</v>
      </c>
      <c r="J40" s="4" t="n">
        <v>640</v>
      </c>
      <c r="K40" s="4" t="n">
        <v>505</v>
      </c>
      <c r="L40" s="5" t="n">
        <f aca="false">K40-J40</f>
        <v>-135</v>
      </c>
      <c r="M40" s="4" t="n">
        <v>518</v>
      </c>
      <c r="N40" s="5" t="n">
        <f aca="false">M40-H40</f>
        <v>518</v>
      </c>
      <c r="O40" s="4" t="n">
        <v>1022</v>
      </c>
      <c r="P40" s="4" t="n">
        <v>640</v>
      </c>
      <c r="Q40" s="6" t="n">
        <f aca="false">IFERROR(K40/J40,0)</f>
        <v>0.7890625</v>
      </c>
    </row>
    <row r="41" customFormat="false" ht="15" hidden="false" customHeight="false" outlineLevel="0" collapsed="false">
      <c r="A41" s="2" t="n">
        <v>10172</v>
      </c>
      <c r="B41" s="3" t="s">
        <v>151</v>
      </c>
      <c r="C41" s="3" t="s">
        <v>122</v>
      </c>
      <c r="D41" s="4" t="n">
        <v>0.75</v>
      </c>
      <c r="E41" s="4" t="n">
        <v>147</v>
      </c>
      <c r="F41" s="4" t="n">
        <v>0</v>
      </c>
      <c r="G41" s="4" t="n">
        <v>143</v>
      </c>
      <c r="H41" s="4" t="n">
        <v>0</v>
      </c>
      <c r="I41" s="5" t="n">
        <f aca="false">E41+G41</f>
        <v>290</v>
      </c>
      <c r="J41" s="4" t="n">
        <v>480</v>
      </c>
      <c r="K41" s="4" t="n">
        <v>564</v>
      </c>
      <c r="L41" s="5" t="n">
        <f aca="false">K41-J41</f>
        <v>84</v>
      </c>
      <c r="M41" s="4" t="n">
        <v>561</v>
      </c>
      <c r="N41" s="5" t="n">
        <f aca="false">M41-H41</f>
        <v>561</v>
      </c>
      <c r="O41" s="4" t="n">
        <v>1113</v>
      </c>
      <c r="P41" s="4" t="n">
        <v>480</v>
      </c>
      <c r="Q41" s="6" t="n">
        <f aca="false">IFERROR(K41/J41,0)</f>
        <v>1.175</v>
      </c>
    </row>
    <row r="42" customFormat="false" ht="15" hidden="false" customHeight="false" outlineLevel="0" collapsed="false">
      <c r="A42" s="2" t="n">
        <v>10173</v>
      </c>
      <c r="B42" s="3" t="s">
        <v>152</v>
      </c>
      <c r="C42" s="3" t="s">
        <v>111</v>
      </c>
      <c r="D42" s="4" t="n">
        <v>1</v>
      </c>
      <c r="E42" s="4" t="n">
        <v>130</v>
      </c>
      <c r="F42" s="4" t="n">
        <v>0</v>
      </c>
      <c r="G42" s="4" t="n">
        <v>124</v>
      </c>
      <c r="H42" s="4" t="n">
        <v>0</v>
      </c>
      <c r="I42" s="5" t="n">
        <f aca="false">E42+G42</f>
        <v>254</v>
      </c>
      <c r="J42" s="4" t="n">
        <v>640</v>
      </c>
      <c r="K42" s="4" t="n">
        <v>539</v>
      </c>
      <c r="L42" s="5" t="n">
        <f aca="false">K42-J42</f>
        <v>-101</v>
      </c>
      <c r="M42" s="4" t="n">
        <v>538</v>
      </c>
      <c r="N42" s="5" t="n">
        <f aca="false">M42-H42</f>
        <v>538</v>
      </c>
      <c r="O42" s="4" t="n">
        <v>1116</v>
      </c>
      <c r="P42" s="4" t="n">
        <v>640</v>
      </c>
      <c r="Q42" s="6" t="n">
        <f aca="false">IFERROR(K42/J42,0)</f>
        <v>0.8421875</v>
      </c>
    </row>
    <row r="43" customFormat="false" ht="15" hidden="false" customHeight="false" outlineLevel="0" collapsed="false">
      <c r="A43" s="2" t="n">
        <v>10174</v>
      </c>
      <c r="B43" s="3" t="s">
        <v>153</v>
      </c>
      <c r="C43" s="3" t="s">
        <v>114</v>
      </c>
      <c r="D43" s="4" t="n">
        <v>1</v>
      </c>
      <c r="E43" s="4" t="n">
        <v>151</v>
      </c>
      <c r="F43" s="4" t="n">
        <v>0</v>
      </c>
      <c r="G43" s="4" t="n">
        <v>154</v>
      </c>
      <c r="H43" s="4" t="n">
        <v>0</v>
      </c>
      <c r="I43" s="5" t="n">
        <f aca="false">E43+G43</f>
        <v>305</v>
      </c>
      <c r="J43" s="4" t="n">
        <v>640</v>
      </c>
      <c r="K43" s="4" t="n">
        <v>619</v>
      </c>
      <c r="L43" s="5" t="n">
        <f aca="false">K43-J43</f>
        <v>-21</v>
      </c>
      <c r="M43" s="4" t="n">
        <v>616</v>
      </c>
      <c r="N43" s="5" t="n">
        <f aca="false">M43-H43</f>
        <v>616</v>
      </c>
      <c r="O43" s="4" t="n">
        <v>1214</v>
      </c>
      <c r="P43" s="4" t="n">
        <v>640</v>
      </c>
      <c r="Q43" s="6" t="n">
        <f aca="false">IFERROR(K43/J43,0)</f>
        <v>0.9671875</v>
      </c>
    </row>
    <row r="44" customFormat="false" ht="15" hidden="false" customHeight="false" outlineLevel="0" collapsed="false">
      <c r="A44" s="2" t="n">
        <v>10175</v>
      </c>
      <c r="B44" s="3" t="s">
        <v>154</v>
      </c>
      <c r="C44" s="3" t="s">
        <v>114</v>
      </c>
      <c r="D44" s="4" t="n">
        <v>0.8</v>
      </c>
      <c r="E44" s="4" t="n">
        <v>132</v>
      </c>
      <c r="F44" s="4" t="n">
        <v>0</v>
      </c>
      <c r="G44" s="4" t="n">
        <v>140</v>
      </c>
      <c r="H44" s="4" t="n">
        <v>24</v>
      </c>
      <c r="I44" s="5" t="n">
        <f aca="false">E44+G44</f>
        <v>272</v>
      </c>
      <c r="J44" s="4" t="n">
        <v>512</v>
      </c>
      <c r="K44" s="4" t="n">
        <v>522</v>
      </c>
      <c r="L44" s="5" t="n">
        <f aca="false">K44-J44</f>
        <v>10</v>
      </c>
      <c r="M44" s="4" t="n">
        <v>533</v>
      </c>
      <c r="N44" s="5" t="n">
        <f aca="false">M44-H44</f>
        <v>509</v>
      </c>
      <c r="O44" s="4" t="n">
        <v>1058</v>
      </c>
      <c r="P44" s="4" t="n">
        <v>512</v>
      </c>
      <c r="Q44" s="6" t="n">
        <f aca="false">IFERROR(K44/J44,0)</f>
        <v>1.01953125</v>
      </c>
    </row>
    <row r="45" customFormat="false" ht="15" hidden="false" customHeight="false" outlineLevel="0" collapsed="false">
      <c r="A45" s="2" t="n">
        <v>10176</v>
      </c>
      <c r="B45" s="3" t="s">
        <v>155</v>
      </c>
      <c r="C45" s="3" t="s">
        <v>111</v>
      </c>
      <c r="D45" s="4" t="n">
        <v>0.8</v>
      </c>
      <c r="E45" s="4" t="n">
        <v>113</v>
      </c>
      <c r="F45" s="4" t="n">
        <v>0</v>
      </c>
      <c r="G45" s="4" t="n">
        <v>121</v>
      </c>
      <c r="H45" s="4" t="n">
        <v>30</v>
      </c>
      <c r="I45" s="5" t="n">
        <f aca="false">E45+G45</f>
        <v>234</v>
      </c>
      <c r="J45" s="4" t="n">
        <v>512</v>
      </c>
      <c r="K45" s="4" t="n">
        <v>485</v>
      </c>
      <c r="L45" s="5" t="n">
        <f aca="false">K45-J45</f>
        <v>-27</v>
      </c>
      <c r="M45" s="4" t="n">
        <v>482</v>
      </c>
      <c r="N45" s="5" t="n">
        <f aca="false">M45-H45</f>
        <v>452</v>
      </c>
      <c r="O45" s="4" t="n">
        <v>991</v>
      </c>
      <c r="P45" s="4" t="n">
        <v>512</v>
      </c>
      <c r="Q45" s="6" t="n">
        <f aca="false">IFERROR(K45/J45,0)</f>
        <v>0.947265625</v>
      </c>
    </row>
    <row r="46" customFormat="false" ht="15" hidden="false" customHeight="false" outlineLevel="0" collapsed="false">
      <c r="A46" s="2" t="n">
        <v>10177</v>
      </c>
      <c r="B46" s="3" t="s">
        <v>156</v>
      </c>
      <c r="C46" s="3" t="s">
        <v>31</v>
      </c>
      <c r="D46" s="4" t="n">
        <v>0.5</v>
      </c>
      <c r="E46" s="4" t="n">
        <v>69</v>
      </c>
      <c r="F46" s="4" t="n">
        <v>0</v>
      </c>
      <c r="G46" s="4" t="n">
        <v>64</v>
      </c>
      <c r="H46" s="4" t="n">
        <v>30</v>
      </c>
      <c r="I46" s="5" t="n">
        <f aca="false">E46+G46</f>
        <v>133</v>
      </c>
      <c r="J46" s="4" t="n">
        <v>320</v>
      </c>
      <c r="K46" s="4" t="n">
        <v>261</v>
      </c>
      <c r="L46" s="5" t="n">
        <f aca="false">K46-J46</f>
        <v>-59</v>
      </c>
      <c r="M46" s="4" t="n">
        <v>256</v>
      </c>
      <c r="N46" s="5" t="n">
        <f aca="false">M46-H46</f>
        <v>226</v>
      </c>
      <c r="O46" s="4" t="n">
        <v>543</v>
      </c>
      <c r="P46" s="4" t="n">
        <v>320</v>
      </c>
      <c r="Q46" s="6" t="n">
        <f aca="false">IFERROR(K46/J46,0)</f>
        <v>0.815625</v>
      </c>
    </row>
    <row r="47" customFormat="false" ht="15" hidden="false" customHeight="false" outlineLevel="0" collapsed="false">
      <c r="A47" s="2" t="n">
        <v>10178</v>
      </c>
      <c r="B47" s="3" t="s">
        <v>157</v>
      </c>
      <c r="C47" s="3" t="s">
        <v>22</v>
      </c>
      <c r="D47" s="4" t="n">
        <v>0.6</v>
      </c>
      <c r="E47" s="4" t="n">
        <v>87</v>
      </c>
      <c r="F47" s="4" t="n">
        <v>0</v>
      </c>
      <c r="G47" s="4" t="n">
        <v>81</v>
      </c>
      <c r="H47" s="4" t="n">
        <v>8</v>
      </c>
      <c r="I47" s="5" t="n">
        <f aca="false">E47+G47</f>
        <v>168</v>
      </c>
      <c r="J47" s="4" t="n">
        <v>384</v>
      </c>
      <c r="K47" s="4" t="n">
        <v>363</v>
      </c>
      <c r="L47" s="5" t="n">
        <f aca="false">K47-J47</f>
        <v>-21</v>
      </c>
      <c r="M47" s="4" t="n">
        <v>361</v>
      </c>
      <c r="N47" s="5" t="n">
        <f aca="false">M47-H47</f>
        <v>353</v>
      </c>
      <c r="O47" s="4" t="n">
        <v>721</v>
      </c>
      <c r="P47" s="4" t="n">
        <v>384</v>
      </c>
      <c r="Q47" s="6" t="n">
        <f aca="false">IFERROR(K47/J47,0)</f>
        <v>0.9453125</v>
      </c>
    </row>
    <row r="48" customFormat="false" ht="15" hidden="false" customHeight="false" outlineLevel="0" collapsed="false">
      <c r="A48" s="2" t="n">
        <v>10179</v>
      </c>
      <c r="B48" s="3" t="s">
        <v>158</v>
      </c>
      <c r="C48" s="3" t="s">
        <v>114</v>
      </c>
      <c r="D48" s="4" t="n">
        <v>1</v>
      </c>
      <c r="E48" s="4" t="n">
        <v>157</v>
      </c>
      <c r="F48" s="4" t="n">
        <v>0</v>
      </c>
      <c r="G48" s="4" t="n">
        <v>162</v>
      </c>
      <c r="H48" s="4" t="n">
        <v>24</v>
      </c>
      <c r="I48" s="5" t="n">
        <f aca="false">E48+G48</f>
        <v>319</v>
      </c>
      <c r="J48" s="4" t="n">
        <v>640</v>
      </c>
      <c r="K48" s="4" t="n">
        <v>642</v>
      </c>
      <c r="L48" s="5" t="n">
        <f aca="false">K48-J48</f>
        <v>2</v>
      </c>
      <c r="M48" s="4" t="n">
        <v>639</v>
      </c>
      <c r="N48" s="5" t="n">
        <f aca="false">M48-H48</f>
        <v>615</v>
      </c>
      <c r="O48" s="4" t="n">
        <v>1347</v>
      </c>
      <c r="P48" s="4" t="n">
        <v>640</v>
      </c>
      <c r="Q48" s="6" t="n">
        <f aca="false">IFERROR(K48/J48,0)</f>
        <v>1.003125</v>
      </c>
    </row>
    <row r="49" customFormat="false" ht="15" hidden="false" customHeight="false" outlineLevel="0" collapsed="false">
      <c r="A49" s="2" t="n">
        <v>10180</v>
      </c>
      <c r="B49" s="3" t="s">
        <v>159</v>
      </c>
      <c r="C49" s="3" t="s">
        <v>22</v>
      </c>
      <c r="D49" s="4" t="n">
        <v>0.8</v>
      </c>
      <c r="E49" s="4" t="n">
        <v>98</v>
      </c>
      <c r="F49" s="4" t="n">
        <v>0</v>
      </c>
      <c r="G49" s="4" t="n">
        <v>103</v>
      </c>
      <c r="H49" s="4" t="n">
        <v>30</v>
      </c>
      <c r="I49" s="5" t="n">
        <f aca="false">E49+G49</f>
        <v>201</v>
      </c>
      <c r="J49" s="4" t="n">
        <v>512</v>
      </c>
      <c r="K49" s="4" t="n">
        <v>406</v>
      </c>
      <c r="L49" s="5" t="n">
        <f aca="false">K49-J49</f>
        <v>-106</v>
      </c>
      <c r="M49" s="4" t="n">
        <v>415</v>
      </c>
      <c r="N49" s="5" t="n">
        <f aca="false">M49-H49</f>
        <v>385</v>
      </c>
      <c r="O49" s="4" t="n">
        <v>817</v>
      </c>
      <c r="P49" s="4" t="n">
        <v>512</v>
      </c>
      <c r="Q49" s="6" t="n">
        <f aca="false">IFERROR(K49/J49,0)</f>
        <v>0.79296875</v>
      </c>
    </row>
    <row r="50" customFormat="false" ht="15" hidden="false" customHeight="false" outlineLevel="0" collapsed="false">
      <c r="A50" s="2" t="n">
        <v>10181</v>
      </c>
      <c r="B50" s="3" t="s">
        <v>160</v>
      </c>
      <c r="C50" s="3" t="s">
        <v>114</v>
      </c>
      <c r="D50" s="4" t="n">
        <v>0.6</v>
      </c>
      <c r="E50" s="4" t="n">
        <v>105</v>
      </c>
      <c r="F50" s="4" t="n">
        <v>0</v>
      </c>
      <c r="G50" s="4" t="n">
        <v>99</v>
      </c>
      <c r="H50" s="4" t="n">
        <v>0</v>
      </c>
      <c r="I50" s="5" t="n">
        <f aca="false">E50+G50</f>
        <v>204</v>
      </c>
      <c r="J50" s="4" t="n">
        <v>384</v>
      </c>
      <c r="K50" s="4" t="n">
        <v>411</v>
      </c>
      <c r="L50" s="5" t="n">
        <f aca="false">K50-J50</f>
        <v>27</v>
      </c>
      <c r="M50" s="4" t="n">
        <v>411</v>
      </c>
      <c r="N50" s="5" t="n">
        <f aca="false">M50-H50</f>
        <v>411</v>
      </c>
      <c r="O50" s="4" t="n">
        <v>830</v>
      </c>
      <c r="P50" s="4" t="n">
        <v>384</v>
      </c>
      <c r="Q50" s="6" t="n">
        <f aca="false">IFERROR(K50/J50,0)</f>
        <v>1.0703125</v>
      </c>
    </row>
    <row r="51" customFormat="false" ht="15" hidden="false" customHeight="false" outlineLevel="0" collapsed="false">
      <c r="A51" s="2" t="n">
        <v>10182</v>
      </c>
      <c r="B51" s="3" t="s">
        <v>161</v>
      </c>
      <c r="C51" s="3" t="s">
        <v>114</v>
      </c>
      <c r="D51" s="4" t="n">
        <v>0.8</v>
      </c>
      <c r="E51" s="4" t="n">
        <v>145</v>
      </c>
      <c r="F51" s="4" t="n">
        <v>0</v>
      </c>
      <c r="G51" s="4" t="n">
        <v>151</v>
      </c>
      <c r="H51" s="4" t="n">
        <v>0</v>
      </c>
      <c r="I51" s="5" t="n">
        <f aca="false">E51+G51</f>
        <v>296</v>
      </c>
      <c r="J51" s="4" t="n">
        <v>512</v>
      </c>
      <c r="K51" s="4" t="n">
        <v>577</v>
      </c>
      <c r="L51" s="5" t="n">
        <f aca="false">K51-J51</f>
        <v>65</v>
      </c>
      <c r="M51" s="4" t="n">
        <v>569</v>
      </c>
      <c r="N51" s="5" t="n">
        <f aca="false">M51-H51</f>
        <v>569</v>
      </c>
      <c r="O51" s="4" t="n">
        <v>1148</v>
      </c>
      <c r="P51" s="4" t="n">
        <v>512</v>
      </c>
      <c r="Q51" s="6" t="n">
        <f aca="false">IFERROR(K51/J51,0)</f>
        <v>1.126953125</v>
      </c>
    </row>
    <row r="52" customFormat="false" ht="15" hidden="false" customHeight="false" outlineLevel="0" collapsed="false">
      <c r="A52" s="2" t="n">
        <v>10183</v>
      </c>
      <c r="B52" s="3" t="s">
        <v>162</v>
      </c>
      <c r="C52" s="3" t="s">
        <v>111</v>
      </c>
      <c r="D52" s="4" t="n">
        <v>0.8</v>
      </c>
      <c r="E52" s="4" t="n">
        <v>113</v>
      </c>
      <c r="F52" s="4" t="n">
        <v>0</v>
      </c>
      <c r="G52" s="4" t="n">
        <v>116</v>
      </c>
      <c r="H52" s="4" t="n">
        <v>0</v>
      </c>
      <c r="I52" s="5" t="n">
        <f aca="false">E52+G52</f>
        <v>229</v>
      </c>
      <c r="J52" s="4" t="n">
        <v>512</v>
      </c>
      <c r="K52" s="4" t="n">
        <v>474</v>
      </c>
      <c r="L52" s="5" t="n">
        <f aca="false">K52-J52</f>
        <v>-38</v>
      </c>
      <c r="M52" s="4" t="n">
        <v>484</v>
      </c>
      <c r="N52" s="5" t="n">
        <f aca="false">M52-H52</f>
        <v>484</v>
      </c>
      <c r="O52" s="4" t="n">
        <v>969</v>
      </c>
      <c r="P52" s="4" t="n">
        <v>512</v>
      </c>
      <c r="Q52" s="6" t="n">
        <f aca="false">IFERROR(K52/J52,0)</f>
        <v>0.92578125</v>
      </c>
    </row>
    <row r="53" customFormat="false" ht="15" hidden="false" customHeight="false" outlineLevel="0" collapsed="false">
      <c r="A53" s="2" t="n">
        <v>10184</v>
      </c>
      <c r="B53" s="3" t="s">
        <v>163</v>
      </c>
      <c r="C53" s="3" t="s">
        <v>114</v>
      </c>
      <c r="D53" s="4" t="n">
        <v>1</v>
      </c>
      <c r="E53" s="4" t="n">
        <v>178</v>
      </c>
      <c r="F53" s="4" t="n">
        <v>0</v>
      </c>
      <c r="G53" s="4" t="n">
        <v>186</v>
      </c>
      <c r="H53" s="4" t="n">
        <v>0</v>
      </c>
      <c r="I53" s="5" t="n">
        <f aca="false">E53+G53</f>
        <v>364</v>
      </c>
      <c r="J53" s="4" t="n">
        <v>640</v>
      </c>
      <c r="K53" s="4" t="n">
        <v>700</v>
      </c>
      <c r="L53" s="5" t="n">
        <f aca="false">K53-J53</f>
        <v>60</v>
      </c>
      <c r="M53" s="4" t="n">
        <v>688</v>
      </c>
      <c r="N53" s="5" t="n">
        <f aca="false">M53-H53</f>
        <v>688</v>
      </c>
      <c r="O53" s="4" t="n">
        <v>1379</v>
      </c>
      <c r="P53" s="4" t="n">
        <v>640</v>
      </c>
      <c r="Q53" s="6" t="n">
        <f aca="false">IFERROR(K53/J53,0)</f>
        <v>1.09375</v>
      </c>
    </row>
    <row r="54" customFormat="false" ht="15" hidden="false" customHeight="false" outlineLevel="0" collapsed="false">
      <c r="A54" s="2" t="n">
        <v>10185</v>
      </c>
      <c r="B54" s="3" t="s">
        <v>164</v>
      </c>
      <c r="C54" s="3" t="s">
        <v>111</v>
      </c>
      <c r="D54" s="4" t="n">
        <v>0.75</v>
      </c>
      <c r="E54" s="4" t="n">
        <v>123</v>
      </c>
      <c r="F54" s="4" t="n">
        <v>0</v>
      </c>
      <c r="G54" s="4" t="n">
        <v>126</v>
      </c>
      <c r="H54" s="4" t="n">
        <v>24</v>
      </c>
      <c r="I54" s="5" t="n">
        <f aca="false">E54+G54</f>
        <v>249</v>
      </c>
      <c r="J54" s="4" t="n">
        <v>480</v>
      </c>
      <c r="K54" s="4" t="n">
        <v>513</v>
      </c>
      <c r="L54" s="5" t="n">
        <f aca="false">K54-J54</f>
        <v>33</v>
      </c>
      <c r="M54" s="4" t="n">
        <v>518</v>
      </c>
      <c r="N54" s="5" t="n">
        <f aca="false">M54-H54</f>
        <v>494</v>
      </c>
      <c r="O54" s="4" t="n">
        <v>1039</v>
      </c>
      <c r="P54" s="4" t="n">
        <v>480</v>
      </c>
      <c r="Q54" s="6" t="n">
        <f aca="false">IFERROR(K54/J54,0)</f>
        <v>1.06875</v>
      </c>
    </row>
    <row r="55" customFormat="false" ht="15" hidden="false" customHeight="false" outlineLevel="0" collapsed="false">
      <c r="A55" s="2" t="n">
        <v>10186</v>
      </c>
      <c r="B55" s="3" t="s">
        <v>165</v>
      </c>
      <c r="C55" s="3" t="s">
        <v>114</v>
      </c>
      <c r="D55" s="4" t="n">
        <v>0.6</v>
      </c>
      <c r="E55" s="4" t="n">
        <v>106</v>
      </c>
      <c r="F55" s="4" t="n">
        <v>8</v>
      </c>
      <c r="G55" s="4" t="n">
        <v>105</v>
      </c>
      <c r="H55" s="4" t="n">
        <v>16</v>
      </c>
      <c r="I55" s="5" t="n">
        <f aca="false">E55+G55</f>
        <v>211</v>
      </c>
      <c r="J55" s="4" t="n">
        <v>384</v>
      </c>
      <c r="K55" s="4" t="n">
        <v>391</v>
      </c>
      <c r="L55" s="5" t="n">
        <f aca="false">K55-J55</f>
        <v>7</v>
      </c>
      <c r="M55" s="4" t="n">
        <v>397</v>
      </c>
      <c r="N55" s="5" t="n">
        <f aca="false">M55-H55</f>
        <v>381</v>
      </c>
      <c r="O55" s="4" t="n">
        <v>764</v>
      </c>
      <c r="P55" s="4" t="n">
        <v>384</v>
      </c>
      <c r="Q55" s="6" t="n">
        <f aca="false">IFERROR(K55/J55,0)</f>
        <v>1.01822916666667</v>
      </c>
    </row>
    <row r="56" customFormat="false" ht="15" hidden="false" customHeight="false" outlineLevel="0" collapsed="false">
      <c r="A56" s="2" t="n">
        <v>10187</v>
      </c>
      <c r="B56" s="3" t="s">
        <v>166</v>
      </c>
      <c r="C56" s="3" t="s">
        <v>122</v>
      </c>
      <c r="D56" s="4" t="n">
        <v>0.6</v>
      </c>
      <c r="E56" s="4" t="n">
        <v>80</v>
      </c>
      <c r="F56" s="4" t="n">
        <v>8</v>
      </c>
      <c r="G56" s="4" t="n">
        <v>78</v>
      </c>
      <c r="H56" s="4" t="n">
        <v>0</v>
      </c>
      <c r="I56" s="5" t="n">
        <f aca="false">E56+G56</f>
        <v>158</v>
      </c>
      <c r="J56" s="4" t="n">
        <v>384</v>
      </c>
      <c r="K56" s="4" t="n">
        <v>309</v>
      </c>
      <c r="L56" s="5" t="n">
        <f aca="false">K56-J56</f>
        <v>-75</v>
      </c>
      <c r="M56" s="4" t="n">
        <v>313</v>
      </c>
      <c r="N56" s="5" t="n">
        <f aca="false">M56-H56</f>
        <v>313</v>
      </c>
      <c r="O56" s="4" t="n">
        <v>604</v>
      </c>
      <c r="P56" s="4" t="n">
        <v>384</v>
      </c>
      <c r="Q56" s="6" t="n">
        <f aca="false">IFERROR(K56/J56,0)</f>
        <v>0.8046875</v>
      </c>
    </row>
    <row r="57" customFormat="false" ht="15" hidden="false" customHeight="false" outlineLevel="0" collapsed="false">
      <c r="A57" s="2" t="n">
        <v>10188</v>
      </c>
      <c r="B57" s="3" t="s">
        <v>167</v>
      </c>
      <c r="C57" s="3" t="s">
        <v>111</v>
      </c>
      <c r="D57" s="4" t="n">
        <v>1</v>
      </c>
      <c r="E57" s="4" t="n">
        <v>126</v>
      </c>
      <c r="F57" s="4" t="n">
        <v>0</v>
      </c>
      <c r="G57" s="4" t="n">
        <v>124</v>
      </c>
      <c r="H57" s="4" t="n">
        <v>24</v>
      </c>
      <c r="I57" s="5" t="n">
        <f aca="false">E57+G57</f>
        <v>250</v>
      </c>
      <c r="J57" s="4" t="n">
        <v>640</v>
      </c>
      <c r="K57" s="4" t="n">
        <v>499</v>
      </c>
      <c r="L57" s="5" t="n">
        <f aca="false">K57-J57</f>
        <v>-141</v>
      </c>
      <c r="M57" s="4" t="n">
        <v>507</v>
      </c>
      <c r="N57" s="5" t="n">
        <f aca="false">M57-H57</f>
        <v>483</v>
      </c>
      <c r="O57" s="4" t="n">
        <v>1026</v>
      </c>
      <c r="P57" s="4" t="n">
        <v>640</v>
      </c>
      <c r="Q57" s="6" t="n">
        <f aca="false">IFERROR(K57/J57,0)</f>
        <v>0.7796875</v>
      </c>
    </row>
    <row r="58" customFormat="false" ht="15" hidden="false" customHeight="false" outlineLevel="0" collapsed="false">
      <c r="A58" s="2" t="n">
        <v>10189</v>
      </c>
      <c r="B58" s="3" t="s">
        <v>168</v>
      </c>
      <c r="C58" s="3" t="s">
        <v>22</v>
      </c>
      <c r="D58" s="4" t="n">
        <v>0.8</v>
      </c>
      <c r="E58" s="4" t="n">
        <v>140</v>
      </c>
      <c r="F58" s="4" t="n">
        <v>0</v>
      </c>
      <c r="G58" s="4" t="n">
        <v>140</v>
      </c>
      <c r="H58" s="4" t="n">
        <v>8</v>
      </c>
      <c r="I58" s="5" t="n">
        <f aca="false">E58+G58</f>
        <v>280</v>
      </c>
      <c r="J58" s="4" t="n">
        <v>512</v>
      </c>
      <c r="K58" s="4" t="n">
        <v>563</v>
      </c>
      <c r="L58" s="5" t="n">
        <f aca="false">K58-J58</f>
        <v>51</v>
      </c>
      <c r="M58" s="4" t="n">
        <v>576</v>
      </c>
      <c r="N58" s="5" t="n">
        <f aca="false">M58-H58</f>
        <v>568</v>
      </c>
      <c r="O58" s="4" t="n">
        <v>1155</v>
      </c>
      <c r="P58" s="4" t="n">
        <v>512</v>
      </c>
      <c r="Q58" s="6" t="n">
        <f aca="false">IFERROR(K58/J58,0)</f>
        <v>1.099609375</v>
      </c>
    </row>
    <row r="59" customFormat="false" ht="15" hidden="false" customHeight="false" outlineLevel="0" collapsed="false">
      <c r="A59" s="2" t="n">
        <v>10190</v>
      </c>
      <c r="B59" s="3" t="s">
        <v>169</v>
      </c>
      <c r="C59" s="3" t="s">
        <v>114</v>
      </c>
      <c r="D59" s="4" t="n">
        <v>0.6</v>
      </c>
      <c r="E59" s="4" t="n">
        <v>84</v>
      </c>
      <c r="F59" s="4" t="n">
        <v>8</v>
      </c>
      <c r="G59" s="4" t="n">
        <v>78</v>
      </c>
      <c r="H59" s="4" t="n">
        <v>16</v>
      </c>
      <c r="I59" s="5" t="n">
        <f aca="false">E59+G59</f>
        <v>162</v>
      </c>
      <c r="J59" s="4" t="n">
        <v>384</v>
      </c>
      <c r="K59" s="4" t="n">
        <v>302</v>
      </c>
      <c r="L59" s="5" t="n">
        <f aca="false">K59-J59</f>
        <v>-82</v>
      </c>
      <c r="M59" s="4" t="n">
        <v>306</v>
      </c>
      <c r="N59" s="5" t="n">
        <f aca="false">M59-H59</f>
        <v>290</v>
      </c>
      <c r="O59" s="4" t="n">
        <v>611</v>
      </c>
      <c r="P59" s="4" t="n">
        <v>384</v>
      </c>
      <c r="Q59" s="6" t="n">
        <f aca="false">IFERROR(K59/J59,0)</f>
        <v>0.786458333333333</v>
      </c>
    </row>
    <row r="60" customFormat="false" ht="15" hidden="false" customHeight="false" outlineLevel="0" collapsed="false">
      <c r="A60" s="2" t="n">
        <v>10191</v>
      </c>
      <c r="B60" s="3" t="s">
        <v>170</v>
      </c>
      <c r="C60" s="3" t="s">
        <v>31</v>
      </c>
      <c r="D60" s="4" t="n">
        <v>1</v>
      </c>
      <c r="E60" s="4" t="n">
        <v>174</v>
      </c>
      <c r="F60" s="4" t="n">
        <v>8</v>
      </c>
      <c r="G60" s="4" t="n">
        <v>178</v>
      </c>
      <c r="H60" s="4" t="n">
        <v>0</v>
      </c>
      <c r="I60" s="5" t="n">
        <f aca="false">E60+G60</f>
        <v>352</v>
      </c>
      <c r="J60" s="4" t="n">
        <v>640</v>
      </c>
      <c r="K60" s="4" t="n">
        <v>717</v>
      </c>
      <c r="L60" s="5" t="n">
        <f aca="false">K60-J60</f>
        <v>77</v>
      </c>
      <c r="M60" s="4" t="n">
        <v>704</v>
      </c>
      <c r="N60" s="5" t="n">
        <f aca="false">M60-H60</f>
        <v>704</v>
      </c>
      <c r="O60" s="4" t="n">
        <v>1501</v>
      </c>
      <c r="P60" s="4" t="n">
        <v>640</v>
      </c>
      <c r="Q60" s="6" t="n">
        <f aca="false">IFERROR(K60/J60,0)</f>
        <v>1.1203125</v>
      </c>
    </row>
    <row r="61" customFormat="false" ht="15" hidden="false" customHeight="false" outlineLevel="0" collapsed="false">
      <c r="A61" s="2" t="n">
        <v>10192</v>
      </c>
      <c r="B61" s="3" t="s">
        <v>171</v>
      </c>
      <c r="C61" s="3" t="s">
        <v>111</v>
      </c>
      <c r="D61" s="4" t="n">
        <v>1</v>
      </c>
      <c r="E61" s="4" t="n">
        <v>133</v>
      </c>
      <c r="F61" s="4" t="n">
        <v>0</v>
      </c>
      <c r="G61" s="4" t="n">
        <v>137</v>
      </c>
      <c r="H61" s="4" t="n">
        <v>16</v>
      </c>
      <c r="I61" s="5" t="n">
        <f aca="false">E61+G61</f>
        <v>270</v>
      </c>
      <c r="J61" s="4" t="n">
        <v>640</v>
      </c>
      <c r="K61" s="4" t="n">
        <v>534</v>
      </c>
      <c r="L61" s="5" t="n">
        <f aca="false">K61-J61</f>
        <v>-106</v>
      </c>
      <c r="M61" s="4" t="n">
        <v>530</v>
      </c>
      <c r="N61" s="5" t="n">
        <f aca="false">M61-H61</f>
        <v>514</v>
      </c>
      <c r="O61" s="4" t="n">
        <v>1045</v>
      </c>
      <c r="P61" s="4" t="n">
        <v>640</v>
      </c>
      <c r="Q61" s="6" t="n">
        <f aca="false">IFERROR(K61/J61,0)</f>
        <v>0.834375</v>
      </c>
    </row>
    <row r="62" customFormat="false" ht="15" hidden="false" customHeight="false" outlineLevel="0" collapsed="false">
      <c r="A62" s="2" t="n">
        <v>10193</v>
      </c>
      <c r="B62" s="3" t="s">
        <v>172</v>
      </c>
      <c r="C62" s="3" t="s">
        <v>114</v>
      </c>
      <c r="D62" s="4" t="n">
        <v>1</v>
      </c>
      <c r="E62" s="4" t="n">
        <v>114</v>
      </c>
      <c r="F62" s="4" t="n">
        <v>0</v>
      </c>
      <c r="G62" s="4" t="n">
        <v>123</v>
      </c>
      <c r="H62" s="4" t="n">
        <v>30</v>
      </c>
      <c r="I62" s="5" t="n">
        <f aca="false">E62+G62</f>
        <v>237</v>
      </c>
      <c r="J62" s="4" t="n">
        <v>640</v>
      </c>
      <c r="K62" s="4" t="n">
        <v>454</v>
      </c>
      <c r="L62" s="5" t="n">
        <f aca="false">K62-J62</f>
        <v>-186</v>
      </c>
      <c r="M62" s="4" t="n">
        <v>454</v>
      </c>
      <c r="N62" s="5" t="n">
        <f aca="false">M62-H62</f>
        <v>424</v>
      </c>
      <c r="O62" s="4" t="n">
        <v>949</v>
      </c>
      <c r="P62" s="4" t="n">
        <v>640</v>
      </c>
      <c r="Q62" s="6" t="n">
        <f aca="false">IFERROR(K62/J62,0)</f>
        <v>0.709375</v>
      </c>
    </row>
    <row r="63" customFormat="false" ht="15" hidden="false" customHeight="false" outlineLevel="0" collapsed="false">
      <c r="A63" s="2" t="n">
        <v>10194</v>
      </c>
      <c r="B63" s="3" t="s">
        <v>173</v>
      </c>
      <c r="C63" s="3" t="s">
        <v>114</v>
      </c>
      <c r="D63" s="4" t="n">
        <v>1</v>
      </c>
      <c r="E63" s="4" t="n">
        <v>141</v>
      </c>
      <c r="F63" s="4" t="n">
        <v>0</v>
      </c>
      <c r="G63" s="4" t="n">
        <v>138</v>
      </c>
      <c r="H63" s="4" t="n">
        <v>16</v>
      </c>
      <c r="I63" s="5" t="n">
        <f aca="false">E63+G63</f>
        <v>279</v>
      </c>
      <c r="J63" s="4" t="n">
        <v>640</v>
      </c>
      <c r="K63" s="4" t="n">
        <v>535</v>
      </c>
      <c r="L63" s="5" t="n">
        <f aca="false">K63-J63</f>
        <v>-105</v>
      </c>
      <c r="M63" s="4" t="n">
        <v>547</v>
      </c>
      <c r="N63" s="5" t="n">
        <f aca="false">M63-H63</f>
        <v>531</v>
      </c>
      <c r="O63" s="4" t="n">
        <v>1046</v>
      </c>
      <c r="P63" s="4" t="n">
        <v>640</v>
      </c>
      <c r="Q63" s="6" t="n">
        <f aca="false">IFERROR(K63/J63,0)</f>
        <v>0.8359375</v>
      </c>
    </row>
    <row r="64" customFormat="false" ht="15" hidden="false" customHeight="false" outlineLevel="0" collapsed="false">
      <c r="A64" s="2" t="n">
        <v>10195</v>
      </c>
      <c r="B64" s="3" t="s">
        <v>174</v>
      </c>
      <c r="C64" s="3" t="s">
        <v>114</v>
      </c>
      <c r="D64" s="4" t="n">
        <v>1</v>
      </c>
      <c r="E64" s="4" t="n">
        <v>198</v>
      </c>
      <c r="F64" s="4" t="n">
        <v>8</v>
      </c>
      <c r="G64" s="4" t="n">
        <v>185</v>
      </c>
      <c r="H64" s="4" t="n">
        <v>0</v>
      </c>
      <c r="I64" s="5" t="n">
        <f aca="false">E64+G64</f>
        <v>383</v>
      </c>
      <c r="J64" s="4" t="n">
        <v>640</v>
      </c>
      <c r="K64" s="4" t="n">
        <v>713</v>
      </c>
      <c r="L64" s="5" t="n">
        <f aca="false">K64-J64</f>
        <v>73</v>
      </c>
      <c r="M64" s="4" t="n">
        <v>719</v>
      </c>
      <c r="N64" s="5" t="n">
        <f aca="false">M64-H64</f>
        <v>719</v>
      </c>
      <c r="O64" s="4" t="n">
        <v>1402</v>
      </c>
      <c r="P64" s="4" t="n">
        <v>640</v>
      </c>
      <c r="Q64" s="6" t="n">
        <f aca="false">IFERROR(K64/J64,0)</f>
        <v>1.1140625</v>
      </c>
    </row>
    <row r="65" customFormat="false" ht="15" hidden="false" customHeight="false" outlineLevel="0" collapsed="false">
      <c r="A65" s="2" t="n">
        <v>10196</v>
      </c>
      <c r="B65" s="3" t="s">
        <v>175</v>
      </c>
      <c r="C65" s="3" t="s">
        <v>31</v>
      </c>
      <c r="D65" s="4" t="n">
        <v>0.5</v>
      </c>
      <c r="E65" s="4" t="n">
        <v>81</v>
      </c>
      <c r="F65" s="4" t="n">
        <v>0</v>
      </c>
      <c r="G65" s="4" t="n">
        <v>78</v>
      </c>
      <c r="H65" s="4" t="n">
        <v>16</v>
      </c>
      <c r="I65" s="5" t="n">
        <f aca="false">E65+G65</f>
        <v>159</v>
      </c>
      <c r="J65" s="4" t="n">
        <v>320</v>
      </c>
      <c r="K65" s="4" t="n">
        <v>329</v>
      </c>
      <c r="L65" s="5" t="n">
        <f aca="false">K65-J65</f>
        <v>9</v>
      </c>
      <c r="M65" s="4" t="n">
        <v>333</v>
      </c>
      <c r="N65" s="5" t="n">
        <f aca="false">M65-H65</f>
        <v>317</v>
      </c>
      <c r="O65" s="4" t="n">
        <v>677</v>
      </c>
      <c r="P65" s="4" t="n">
        <v>320</v>
      </c>
      <c r="Q65" s="6" t="n">
        <f aca="false">IFERROR(K65/J65,0)</f>
        <v>1.028125</v>
      </c>
    </row>
    <row r="66" customFormat="false" ht="15" hidden="false" customHeight="false" outlineLevel="0" collapsed="false">
      <c r="A66" s="2" t="n">
        <v>10197</v>
      </c>
      <c r="B66" s="3" t="s">
        <v>176</v>
      </c>
      <c r="C66" s="3" t="s">
        <v>114</v>
      </c>
      <c r="D66" s="4" t="n">
        <v>1</v>
      </c>
      <c r="E66" s="4" t="n">
        <v>187</v>
      </c>
      <c r="F66" s="4" t="n">
        <v>0</v>
      </c>
      <c r="G66" s="4" t="n">
        <v>178</v>
      </c>
      <c r="H66" s="4" t="n">
        <v>0</v>
      </c>
      <c r="I66" s="5" t="n">
        <f aca="false">E66+G66</f>
        <v>365</v>
      </c>
      <c r="J66" s="4" t="n">
        <v>640</v>
      </c>
      <c r="K66" s="4" t="n">
        <v>687</v>
      </c>
      <c r="L66" s="5" t="n">
        <f aca="false">K66-J66</f>
        <v>47</v>
      </c>
      <c r="M66" s="4" t="n">
        <v>696</v>
      </c>
      <c r="N66" s="5" t="n">
        <f aca="false">M66-H66</f>
        <v>696</v>
      </c>
      <c r="O66" s="4" t="n">
        <v>1359</v>
      </c>
      <c r="P66" s="4" t="n">
        <v>640</v>
      </c>
      <c r="Q66" s="6" t="n">
        <f aca="false">IFERROR(K66/J66,0)</f>
        <v>1.0734375</v>
      </c>
    </row>
    <row r="67" customFormat="false" ht="15" hidden="false" customHeight="false" outlineLevel="0" collapsed="false">
      <c r="A67" s="2" t="n">
        <v>10198</v>
      </c>
      <c r="B67" s="3" t="s">
        <v>177</v>
      </c>
      <c r="C67" s="3" t="s">
        <v>122</v>
      </c>
      <c r="D67" s="4" t="n">
        <v>1</v>
      </c>
      <c r="E67" s="4" t="n">
        <v>110</v>
      </c>
      <c r="F67" s="4" t="n">
        <v>0</v>
      </c>
      <c r="G67" s="4" t="n">
        <v>108</v>
      </c>
      <c r="H67" s="4" t="n">
        <v>0</v>
      </c>
      <c r="I67" s="5" t="n">
        <f aca="false">E67+G67</f>
        <v>218</v>
      </c>
      <c r="J67" s="4" t="n">
        <v>640</v>
      </c>
      <c r="K67" s="4" t="n">
        <v>449</v>
      </c>
      <c r="L67" s="5" t="n">
        <f aca="false">K67-J67</f>
        <v>-191</v>
      </c>
      <c r="M67" s="4" t="n">
        <v>448</v>
      </c>
      <c r="N67" s="5" t="n">
        <f aca="false">M67-H67</f>
        <v>448</v>
      </c>
      <c r="O67" s="4" t="n">
        <v>891</v>
      </c>
      <c r="P67" s="4" t="n">
        <v>640</v>
      </c>
      <c r="Q67" s="6" t="n">
        <f aca="false">IFERROR(K67/J67,0)</f>
        <v>0.7015625</v>
      </c>
    </row>
    <row r="68" customFormat="false" ht="15" hidden="false" customHeight="false" outlineLevel="0" collapsed="false">
      <c r="A68" s="2" t="n">
        <v>10199</v>
      </c>
      <c r="B68" s="3" t="s">
        <v>178</v>
      </c>
      <c r="C68" s="3" t="s">
        <v>114</v>
      </c>
      <c r="D68" s="4" t="n">
        <v>1</v>
      </c>
      <c r="E68" s="4" t="n">
        <v>198</v>
      </c>
      <c r="F68" s="4" t="n">
        <v>0</v>
      </c>
      <c r="G68" s="4" t="n">
        <v>193</v>
      </c>
      <c r="H68" s="4" t="n">
        <v>30</v>
      </c>
      <c r="I68" s="5" t="n">
        <f aca="false">E68+G68</f>
        <v>391</v>
      </c>
      <c r="J68" s="4" t="n">
        <v>640</v>
      </c>
      <c r="K68" s="4" t="n">
        <v>749</v>
      </c>
      <c r="L68" s="5" t="n">
        <f aca="false">K68-J68</f>
        <v>109</v>
      </c>
      <c r="M68" s="4" t="n">
        <v>748</v>
      </c>
      <c r="N68" s="5" t="n">
        <f aca="false">M68-H68</f>
        <v>718</v>
      </c>
      <c r="O68" s="4" t="n">
        <v>1485</v>
      </c>
      <c r="P68" s="4" t="n">
        <v>640</v>
      </c>
      <c r="Q68" s="6" t="n">
        <f aca="false">IFERROR(K68/J68,0)</f>
        <v>1.1703125</v>
      </c>
    </row>
    <row r="69" customFormat="false" ht="15" hidden="false" customHeight="false" outlineLevel="0" collapsed="false">
      <c r="A69" s="2" t="n">
        <v>10200</v>
      </c>
      <c r="B69" s="3" t="s">
        <v>179</v>
      </c>
      <c r="C69" s="3" t="s">
        <v>22</v>
      </c>
      <c r="D69" s="4" t="n">
        <v>0.75</v>
      </c>
      <c r="E69" s="4" t="n">
        <v>119</v>
      </c>
      <c r="F69" s="4" t="n">
        <v>4</v>
      </c>
      <c r="G69" s="4" t="n">
        <v>118</v>
      </c>
      <c r="H69" s="4" t="n">
        <v>0</v>
      </c>
      <c r="I69" s="5" t="n">
        <f aca="false">E69+G69</f>
        <v>237</v>
      </c>
      <c r="J69" s="4" t="n">
        <v>480</v>
      </c>
      <c r="K69" s="4" t="n">
        <v>476</v>
      </c>
      <c r="L69" s="5" t="n">
        <f aca="false">K69-J69</f>
        <v>-4</v>
      </c>
      <c r="M69" s="4" t="n">
        <v>472</v>
      </c>
      <c r="N69" s="5" t="n">
        <f aca="false">M69-H69</f>
        <v>472</v>
      </c>
      <c r="O69" s="4" t="n">
        <v>982</v>
      </c>
      <c r="P69" s="4" t="n">
        <v>480</v>
      </c>
      <c r="Q69" s="6" t="n">
        <f aca="false">IFERROR(K69/J69,0)</f>
        <v>0.991666666666667</v>
      </c>
    </row>
    <row r="70" customFormat="false" ht="15" hidden="false" customHeight="false" outlineLevel="0" collapsed="false">
      <c r="A70" s="2" t="n">
        <v>10201</v>
      </c>
      <c r="B70" s="3" t="s">
        <v>180</v>
      </c>
      <c r="C70" s="3" t="s">
        <v>114</v>
      </c>
      <c r="D70" s="4" t="n">
        <v>0.75</v>
      </c>
      <c r="E70" s="4" t="n">
        <v>104</v>
      </c>
      <c r="F70" s="4" t="n">
        <v>0</v>
      </c>
      <c r="G70" s="4" t="n">
        <v>97</v>
      </c>
      <c r="H70" s="4" t="n">
        <v>0</v>
      </c>
      <c r="I70" s="5" t="n">
        <f aca="false">E70+G70</f>
        <v>201</v>
      </c>
      <c r="J70" s="4" t="n">
        <v>480</v>
      </c>
      <c r="K70" s="4" t="n">
        <v>382</v>
      </c>
      <c r="L70" s="5" t="n">
        <f aca="false">K70-J70</f>
        <v>-98</v>
      </c>
      <c r="M70" s="4" t="n">
        <v>378</v>
      </c>
      <c r="N70" s="5" t="n">
        <f aca="false">M70-H70</f>
        <v>378</v>
      </c>
      <c r="O70" s="4" t="n">
        <v>794</v>
      </c>
      <c r="P70" s="4" t="n">
        <v>480</v>
      </c>
      <c r="Q70" s="6" t="n">
        <f aca="false">IFERROR(K70/J70,0)</f>
        <v>0.795833333333333</v>
      </c>
    </row>
    <row r="71" customFormat="false" ht="15" hidden="false" customHeight="false" outlineLevel="0" collapsed="false">
      <c r="A71" s="2" t="n">
        <v>10202</v>
      </c>
      <c r="B71" s="3" t="s">
        <v>181</v>
      </c>
      <c r="C71" s="3" t="s">
        <v>114</v>
      </c>
      <c r="D71" s="4" t="n">
        <v>1</v>
      </c>
      <c r="E71" s="4" t="n">
        <v>141</v>
      </c>
      <c r="F71" s="4" t="n">
        <v>0</v>
      </c>
      <c r="G71" s="4" t="n">
        <v>150</v>
      </c>
      <c r="H71" s="4" t="n">
        <v>0</v>
      </c>
      <c r="I71" s="5" t="n">
        <f aca="false">E71+G71</f>
        <v>291</v>
      </c>
      <c r="J71" s="4" t="n">
        <v>640</v>
      </c>
      <c r="K71" s="4" t="n">
        <v>626</v>
      </c>
      <c r="L71" s="5" t="n">
        <f aca="false">K71-J71</f>
        <v>-14</v>
      </c>
      <c r="M71" s="4" t="n">
        <v>631</v>
      </c>
      <c r="N71" s="5" t="n">
        <f aca="false">M71-H71</f>
        <v>631</v>
      </c>
      <c r="O71" s="4" t="n">
        <v>1284</v>
      </c>
      <c r="P71" s="4" t="n">
        <v>640</v>
      </c>
      <c r="Q71" s="6" t="n">
        <f aca="false">IFERROR(K71/J71,0)</f>
        <v>0.978125</v>
      </c>
    </row>
    <row r="72" customFormat="false" ht="15" hidden="false" customHeight="false" outlineLevel="0" collapsed="false">
      <c r="A72" s="2" t="n">
        <v>10203</v>
      </c>
      <c r="B72" s="3" t="s">
        <v>182</v>
      </c>
      <c r="C72" s="3" t="s">
        <v>114</v>
      </c>
      <c r="D72" s="4" t="n">
        <v>0.8</v>
      </c>
      <c r="E72" s="4" t="n">
        <v>96</v>
      </c>
      <c r="F72" s="4" t="n">
        <v>0</v>
      </c>
      <c r="G72" s="4" t="n">
        <v>93</v>
      </c>
      <c r="H72" s="4" t="n">
        <v>0</v>
      </c>
      <c r="I72" s="5" t="n">
        <f aca="false">E72+G72</f>
        <v>189</v>
      </c>
      <c r="J72" s="4" t="n">
        <v>512</v>
      </c>
      <c r="K72" s="4" t="n">
        <v>382</v>
      </c>
      <c r="L72" s="5" t="n">
        <f aca="false">K72-J72</f>
        <v>-130</v>
      </c>
      <c r="M72" s="4" t="n">
        <v>391</v>
      </c>
      <c r="N72" s="5" t="n">
        <f aca="false">M72-H72</f>
        <v>391</v>
      </c>
      <c r="O72" s="4" t="n">
        <v>801</v>
      </c>
      <c r="P72" s="4" t="n">
        <v>512</v>
      </c>
      <c r="Q72" s="6" t="n">
        <f aca="false">IFERROR(K72/J72,0)</f>
        <v>0.74609375</v>
      </c>
    </row>
    <row r="73" customFormat="false" ht="15" hidden="false" customHeight="false" outlineLevel="0" collapsed="false">
      <c r="A73" s="2" t="n">
        <v>10204</v>
      </c>
      <c r="B73" s="3" t="s">
        <v>183</v>
      </c>
      <c r="C73" s="3" t="s">
        <v>31</v>
      </c>
      <c r="D73" s="4" t="n">
        <v>0.8</v>
      </c>
      <c r="E73" s="4" t="n">
        <v>127</v>
      </c>
      <c r="F73" s="4" t="n">
        <v>12</v>
      </c>
      <c r="G73" s="4" t="n">
        <v>130</v>
      </c>
      <c r="H73" s="4" t="n">
        <v>0</v>
      </c>
      <c r="I73" s="5" t="n">
        <f aca="false">E73+G73</f>
        <v>257</v>
      </c>
      <c r="J73" s="4" t="n">
        <v>512</v>
      </c>
      <c r="K73" s="4" t="n">
        <v>479</v>
      </c>
      <c r="L73" s="5" t="n">
        <f aca="false">K73-J73</f>
        <v>-33</v>
      </c>
      <c r="M73" s="4" t="n">
        <v>491</v>
      </c>
      <c r="N73" s="5" t="n">
        <f aca="false">M73-H73</f>
        <v>491</v>
      </c>
      <c r="O73" s="4" t="n">
        <v>961</v>
      </c>
      <c r="P73" s="4" t="n">
        <v>512</v>
      </c>
      <c r="Q73" s="6" t="n">
        <f aca="false">IFERROR(K73/J73,0)</f>
        <v>0.935546875</v>
      </c>
    </row>
    <row r="74" customFormat="false" ht="15" hidden="false" customHeight="false" outlineLevel="0" collapsed="false">
      <c r="A74" s="2" t="n">
        <v>10205</v>
      </c>
      <c r="B74" s="3" t="s">
        <v>184</v>
      </c>
      <c r="C74" s="3" t="s">
        <v>114</v>
      </c>
      <c r="D74" s="4" t="n">
        <v>0.5</v>
      </c>
      <c r="E74" s="4" t="n">
        <v>81</v>
      </c>
      <c r="F74" s="4" t="n">
        <v>16</v>
      </c>
      <c r="G74" s="4" t="n">
        <v>87</v>
      </c>
      <c r="H74" s="4" t="n">
        <v>24</v>
      </c>
      <c r="I74" s="5" t="n">
        <f aca="false">E74+G74</f>
        <v>168</v>
      </c>
      <c r="J74" s="4" t="n">
        <v>320</v>
      </c>
      <c r="K74" s="4" t="n">
        <v>341</v>
      </c>
      <c r="L74" s="5" t="n">
        <f aca="false">K74-J74</f>
        <v>21</v>
      </c>
      <c r="M74" s="4" t="n">
        <v>347</v>
      </c>
      <c r="N74" s="5" t="n">
        <f aca="false">M74-H74</f>
        <v>323</v>
      </c>
      <c r="O74" s="4" t="n">
        <v>715</v>
      </c>
      <c r="P74" s="4" t="n">
        <v>320</v>
      </c>
      <c r="Q74" s="6" t="n">
        <f aca="false">IFERROR(K74/J74,0)</f>
        <v>1.065625</v>
      </c>
    </row>
    <row r="75" customFormat="false" ht="15" hidden="false" customHeight="false" outlineLevel="0" collapsed="false">
      <c r="A75" s="2" t="n">
        <v>10206</v>
      </c>
      <c r="B75" s="3" t="s">
        <v>185</v>
      </c>
      <c r="C75" s="3" t="s">
        <v>111</v>
      </c>
      <c r="D75" s="4" t="n">
        <v>0.5</v>
      </c>
      <c r="E75" s="4" t="n">
        <v>71</v>
      </c>
      <c r="F75" s="4" t="n">
        <v>8</v>
      </c>
      <c r="G75" s="4" t="n">
        <v>75</v>
      </c>
      <c r="H75" s="4" t="n">
        <v>16</v>
      </c>
      <c r="I75" s="5" t="n">
        <f aca="false">E75+G75</f>
        <v>146</v>
      </c>
      <c r="J75" s="4" t="n">
        <v>320</v>
      </c>
      <c r="K75" s="4" t="n">
        <v>309</v>
      </c>
      <c r="L75" s="5" t="n">
        <f aca="false">K75-J75</f>
        <v>-11</v>
      </c>
      <c r="M75" s="4" t="n">
        <v>303</v>
      </c>
      <c r="N75" s="5" t="n">
        <f aca="false">M75-H75</f>
        <v>287</v>
      </c>
      <c r="O75" s="4" t="n">
        <v>633</v>
      </c>
      <c r="P75" s="4" t="n">
        <v>320</v>
      </c>
      <c r="Q75" s="6" t="n">
        <f aca="false">IFERROR(K75/J75,0)</f>
        <v>0.965625</v>
      </c>
    </row>
    <row r="76" customFormat="false" ht="15" hidden="false" customHeight="false" outlineLevel="0" collapsed="false">
      <c r="A76" s="2" t="n">
        <v>10207</v>
      </c>
      <c r="B76" s="3" t="s">
        <v>186</v>
      </c>
      <c r="C76" s="3" t="s">
        <v>22</v>
      </c>
      <c r="D76" s="4" t="n">
        <v>1</v>
      </c>
      <c r="E76" s="4" t="n">
        <v>148</v>
      </c>
      <c r="F76" s="4" t="n">
        <v>4</v>
      </c>
      <c r="G76" s="4" t="n">
        <v>160</v>
      </c>
      <c r="H76" s="4" t="n">
        <v>0</v>
      </c>
      <c r="I76" s="5" t="n">
        <f aca="false">E76+G76</f>
        <v>308</v>
      </c>
      <c r="J76" s="4" t="n">
        <v>640</v>
      </c>
      <c r="K76" s="4" t="n">
        <v>597</v>
      </c>
      <c r="L76" s="5" t="n">
        <f aca="false">K76-J76</f>
        <v>-43</v>
      </c>
      <c r="M76" s="4" t="n">
        <v>592</v>
      </c>
      <c r="N76" s="5" t="n">
        <f aca="false">M76-H76</f>
        <v>592</v>
      </c>
      <c r="O76" s="4" t="n">
        <v>1184</v>
      </c>
      <c r="P76" s="4" t="n">
        <v>640</v>
      </c>
      <c r="Q76" s="6" t="n">
        <f aca="false">IFERROR(K76/J76,0)</f>
        <v>0.9328125</v>
      </c>
    </row>
    <row r="77" customFormat="false" ht="15" hidden="false" customHeight="false" outlineLevel="0" collapsed="false">
      <c r="A77" s="2" t="n">
        <v>10208</v>
      </c>
      <c r="B77" s="3" t="s">
        <v>187</v>
      </c>
      <c r="C77" s="3" t="s">
        <v>122</v>
      </c>
      <c r="D77" s="4" t="n">
        <v>1</v>
      </c>
      <c r="E77" s="4" t="n">
        <v>150</v>
      </c>
      <c r="F77" s="4" t="n">
        <v>4</v>
      </c>
      <c r="G77" s="4" t="n">
        <v>147</v>
      </c>
      <c r="H77" s="4" t="n">
        <v>0</v>
      </c>
      <c r="I77" s="5" t="n">
        <f aca="false">E77+G77</f>
        <v>297</v>
      </c>
      <c r="J77" s="4" t="n">
        <v>640</v>
      </c>
      <c r="K77" s="4" t="n">
        <v>611</v>
      </c>
      <c r="L77" s="5" t="n">
        <f aca="false">K77-J77</f>
        <v>-29</v>
      </c>
      <c r="M77" s="4" t="n">
        <v>608</v>
      </c>
      <c r="N77" s="5" t="n">
        <f aca="false">M77-H77</f>
        <v>608</v>
      </c>
      <c r="O77" s="4" t="n">
        <v>1205</v>
      </c>
      <c r="P77" s="4" t="n">
        <v>640</v>
      </c>
      <c r="Q77" s="6" t="n">
        <f aca="false">IFERROR(K77/J77,0)</f>
        <v>0.9546875</v>
      </c>
    </row>
    <row r="78" customFormat="false" ht="15" hidden="false" customHeight="false" outlineLevel="0" collapsed="false">
      <c r="A78" s="2" t="n">
        <v>10209</v>
      </c>
      <c r="B78" s="3" t="s">
        <v>188</v>
      </c>
      <c r="C78" s="3" t="s">
        <v>122</v>
      </c>
      <c r="D78" s="4" t="n">
        <v>0.8</v>
      </c>
      <c r="E78" s="4" t="n">
        <v>162</v>
      </c>
      <c r="F78" s="4" t="n">
        <v>0</v>
      </c>
      <c r="G78" s="4" t="n">
        <v>158</v>
      </c>
      <c r="H78" s="4" t="n">
        <v>0</v>
      </c>
      <c r="I78" s="5" t="n">
        <f aca="false">E78+G78</f>
        <v>320</v>
      </c>
      <c r="J78" s="4" t="n">
        <v>512</v>
      </c>
      <c r="K78" s="4" t="n">
        <v>601</v>
      </c>
      <c r="L78" s="5" t="n">
        <f aca="false">K78-J78</f>
        <v>89</v>
      </c>
      <c r="M78" s="4" t="n">
        <v>618</v>
      </c>
      <c r="N78" s="5" t="n">
        <f aca="false">M78-H78</f>
        <v>618</v>
      </c>
      <c r="O78" s="4" t="n">
        <v>1257</v>
      </c>
      <c r="P78" s="4" t="n">
        <v>512</v>
      </c>
      <c r="Q78" s="6" t="n">
        <f aca="false">IFERROR(K78/J78,0)</f>
        <v>1.173828125</v>
      </c>
    </row>
    <row r="79" customFormat="false" ht="15" hidden="false" customHeight="false" outlineLevel="0" collapsed="false">
      <c r="A79" s="2" t="n">
        <v>10210</v>
      </c>
      <c r="B79" s="3" t="s">
        <v>189</v>
      </c>
      <c r="C79" s="3" t="s">
        <v>31</v>
      </c>
      <c r="D79" s="4" t="n">
        <v>0.8</v>
      </c>
      <c r="E79" s="4" t="n">
        <v>104</v>
      </c>
      <c r="F79" s="4" t="n">
        <v>0</v>
      </c>
      <c r="G79" s="4" t="n">
        <v>109</v>
      </c>
      <c r="H79" s="4" t="n">
        <v>24</v>
      </c>
      <c r="I79" s="5" t="n">
        <f aca="false">E79+G79</f>
        <v>213</v>
      </c>
      <c r="J79" s="4" t="n">
        <v>512</v>
      </c>
      <c r="K79" s="4" t="n">
        <v>423</v>
      </c>
      <c r="L79" s="5" t="n">
        <f aca="false">K79-J79</f>
        <v>-89</v>
      </c>
      <c r="M79" s="4" t="n">
        <v>418</v>
      </c>
      <c r="N79" s="5" t="n">
        <f aca="false">M79-H79</f>
        <v>394</v>
      </c>
      <c r="O79" s="4" t="n">
        <v>854</v>
      </c>
      <c r="P79" s="4" t="n">
        <v>512</v>
      </c>
      <c r="Q79" s="6" t="n">
        <f aca="false">IFERROR(K79/J79,0)</f>
        <v>0.826171875</v>
      </c>
    </row>
    <row r="80" customFormat="false" ht="15" hidden="false" customHeight="false" outlineLevel="0" collapsed="false">
      <c r="A80" s="2" t="n">
        <v>10211</v>
      </c>
      <c r="B80" s="3" t="s">
        <v>190</v>
      </c>
      <c r="C80" s="3" t="s">
        <v>114</v>
      </c>
      <c r="D80" s="4" t="n">
        <v>0.8</v>
      </c>
      <c r="E80" s="4" t="n">
        <v>109</v>
      </c>
      <c r="F80" s="4" t="n">
        <v>8</v>
      </c>
      <c r="G80" s="4" t="n">
        <v>101</v>
      </c>
      <c r="H80" s="4" t="n">
        <v>0</v>
      </c>
      <c r="I80" s="5" t="n">
        <f aca="false">E80+G80</f>
        <v>210</v>
      </c>
      <c r="J80" s="4" t="n">
        <v>512</v>
      </c>
      <c r="K80" s="4" t="n">
        <v>410</v>
      </c>
      <c r="L80" s="5" t="n">
        <f aca="false">K80-J80</f>
        <v>-102</v>
      </c>
      <c r="M80" s="4" t="n">
        <v>417</v>
      </c>
      <c r="N80" s="5" t="n">
        <f aca="false">M80-H80</f>
        <v>417</v>
      </c>
      <c r="O80" s="4" t="n">
        <v>811</v>
      </c>
      <c r="P80" s="4" t="n">
        <v>512</v>
      </c>
      <c r="Q80" s="6" t="n">
        <f aca="false">IFERROR(K80/J80,0)</f>
        <v>0.80078125</v>
      </c>
    </row>
    <row r="81" customFormat="false" ht="15" hidden="false" customHeight="false" outlineLevel="0" collapsed="false">
      <c r="A81" s="2" t="n">
        <v>10212</v>
      </c>
      <c r="B81" s="3" t="s">
        <v>191</v>
      </c>
      <c r="C81" s="3" t="s">
        <v>31</v>
      </c>
      <c r="D81" s="4" t="n">
        <v>0.6</v>
      </c>
      <c r="E81" s="4" t="n">
        <v>102</v>
      </c>
      <c r="F81" s="4" t="n">
        <v>0</v>
      </c>
      <c r="G81" s="4" t="n">
        <v>102</v>
      </c>
      <c r="H81" s="4" t="n">
        <v>24</v>
      </c>
      <c r="I81" s="5" t="n">
        <f aca="false">E81+G81</f>
        <v>204</v>
      </c>
      <c r="J81" s="4" t="n">
        <v>384</v>
      </c>
      <c r="K81" s="4" t="n">
        <v>394</v>
      </c>
      <c r="L81" s="5" t="n">
        <f aca="false">K81-J81</f>
        <v>10</v>
      </c>
      <c r="M81" s="4" t="n">
        <v>393</v>
      </c>
      <c r="N81" s="5" t="n">
        <f aca="false">M81-H81</f>
        <v>369</v>
      </c>
      <c r="O81" s="4" t="n">
        <v>825</v>
      </c>
      <c r="P81" s="4" t="n">
        <v>384</v>
      </c>
      <c r="Q81" s="6" t="n">
        <f aca="false">IFERROR(K81/J81,0)</f>
        <v>1.02604166666667</v>
      </c>
    </row>
    <row r="82" customFormat="false" ht="15" hidden="false" customHeight="false" outlineLevel="0" collapsed="false">
      <c r="B82" s="7" t="s">
        <v>104</v>
      </c>
      <c r="I82" s="8" t="n">
        <f aca="false">SUM(I2:I81)</f>
        <v>19931</v>
      </c>
      <c r="J82" s="8" t="n">
        <f aca="false">SUM(J2:J81)</f>
        <v>41536</v>
      </c>
      <c r="K82" s="8" t="n">
        <f aca="false">SUM(K2:K81)</f>
        <v>39623</v>
      </c>
      <c r="L82" s="8" t="n">
        <f aca="false">SUM(L2:L81)</f>
        <v>-1913</v>
      </c>
      <c r="M82" s="8" t="n">
        <f aca="false">SUM(M2:M81)</f>
        <v>39655</v>
      </c>
      <c r="N82" s="8" t="n">
        <f aca="false">SUM(N2:N81)</f>
        <v>38951</v>
      </c>
      <c r="O82" s="8" t="n">
        <f aca="false">SUM(O2:O81)</f>
        <v>80150</v>
      </c>
      <c r="P82" s="8" t="n">
        <f aca="false">SUM(P2:P81)</f>
        <v>41536</v>
      </c>
      <c r="Q82" s="9" t="n">
        <f aca="false">IFERROR(SUM(K2:K81)/SUM(J2:J81),0)</f>
        <v>0.953943567026194</v>
      </c>
    </row>
    <row r="84" customFormat="false" ht="15" hidden="false" customHeight="false" outlineLevel="0" collapsed="false">
      <c r="B84" s="10" t="s">
        <v>105</v>
      </c>
    </row>
    <row r="85" customFormat="false" ht="15" hidden="false" customHeight="false" outlineLevel="0" collapsed="false">
      <c r="B85" s="11" t="s">
        <v>106</v>
      </c>
    </row>
    <row r="86" customFormat="false" ht="15" hidden="false" customHeight="false" outlineLevel="0" collapsed="false">
      <c r="B86" s="11" t="s">
        <v>107</v>
      </c>
    </row>
    <row r="87" customFormat="false" ht="15" hidden="false" customHeight="false" outlineLevel="0" collapsed="false">
      <c r="B87" s="11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6"/>
    <col collapsed="false" customWidth="true" hidden="false" outlineLevel="0" max="8" min="5" style="0" width="1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11"/>
    <col collapsed="false" customWidth="true" hidden="false" outlineLevel="0" max="16" min="16" style="0" width="22"/>
    <col collapsed="false" customWidth="true" hidden="false" outlineLevel="0" max="17" min="17" style="0" width="14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10263</v>
      </c>
      <c r="B2" s="3" t="s">
        <v>192</v>
      </c>
      <c r="C2" s="3" t="s">
        <v>193</v>
      </c>
      <c r="D2" s="4" t="n">
        <v>1</v>
      </c>
      <c r="E2" s="4" t="n">
        <v>166</v>
      </c>
      <c r="F2" s="4" t="n">
        <v>0</v>
      </c>
      <c r="G2" s="4" t="n">
        <v>168</v>
      </c>
      <c r="H2" s="4" t="n">
        <v>0</v>
      </c>
      <c r="I2" s="5" t="n">
        <f aca="false">E2+G2</f>
        <v>334</v>
      </c>
      <c r="J2" s="4" t="n">
        <v>640</v>
      </c>
      <c r="K2" s="4" t="n">
        <v>647</v>
      </c>
      <c r="L2" s="5" t="n">
        <f aca="false">K2-J2</f>
        <v>7</v>
      </c>
      <c r="M2" s="4" t="n">
        <v>643</v>
      </c>
      <c r="N2" s="5" t="n">
        <f aca="false">M2-H2</f>
        <v>643</v>
      </c>
      <c r="O2" s="4" t="n">
        <v>1307</v>
      </c>
      <c r="P2" s="4" t="n">
        <v>640</v>
      </c>
      <c r="Q2" s="6" t="n">
        <f aca="false">IFERROR(K2/J2,0)</f>
        <v>1.0109375</v>
      </c>
    </row>
    <row r="3" customFormat="false" ht="15" hidden="false" customHeight="false" outlineLevel="0" collapsed="false">
      <c r="A3" s="2" t="n">
        <v>10264</v>
      </c>
      <c r="B3" s="3" t="s">
        <v>194</v>
      </c>
      <c r="C3" s="3" t="s">
        <v>22</v>
      </c>
      <c r="D3" s="4" t="n">
        <v>1</v>
      </c>
      <c r="E3" s="4" t="n">
        <v>188</v>
      </c>
      <c r="F3" s="4" t="n">
        <v>0</v>
      </c>
      <c r="G3" s="4" t="n">
        <v>180</v>
      </c>
      <c r="H3" s="4" t="n">
        <v>0</v>
      </c>
      <c r="I3" s="5" t="n">
        <f aca="false">E3+G3</f>
        <v>368</v>
      </c>
      <c r="J3" s="4" t="n">
        <v>640</v>
      </c>
      <c r="K3" s="4" t="n">
        <v>711</v>
      </c>
      <c r="L3" s="5" t="n">
        <f aca="false">K3-J3</f>
        <v>71</v>
      </c>
      <c r="M3" s="4" t="n">
        <v>708</v>
      </c>
      <c r="N3" s="5" t="n">
        <f aca="false">M3-H3</f>
        <v>708</v>
      </c>
      <c r="O3" s="4" t="n">
        <v>1391</v>
      </c>
      <c r="P3" s="4" t="n">
        <v>640</v>
      </c>
      <c r="Q3" s="6" t="n">
        <f aca="false">IFERROR(K3/J3,0)</f>
        <v>1.1109375</v>
      </c>
    </row>
    <row r="4" customFormat="false" ht="15" hidden="false" customHeight="false" outlineLevel="0" collapsed="false">
      <c r="A4" s="2" t="n">
        <v>10265</v>
      </c>
      <c r="B4" s="3" t="s">
        <v>195</v>
      </c>
      <c r="C4" s="3" t="s">
        <v>193</v>
      </c>
      <c r="D4" s="4" t="n">
        <v>1</v>
      </c>
      <c r="E4" s="4" t="n">
        <v>149</v>
      </c>
      <c r="F4" s="4" t="n">
        <v>0</v>
      </c>
      <c r="G4" s="4" t="n">
        <v>156</v>
      </c>
      <c r="H4" s="4" t="n">
        <v>0</v>
      </c>
      <c r="I4" s="5" t="n">
        <f aca="false">E4+G4</f>
        <v>305</v>
      </c>
      <c r="J4" s="4" t="n">
        <v>640</v>
      </c>
      <c r="K4" s="4" t="n">
        <v>631</v>
      </c>
      <c r="L4" s="5" t="n">
        <f aca="false">K4-J4</f>
        <v>-9</v>
      </c>
      <c r="M4" s="4" t="n">
        <v>626</v>
      </c>
      <c r="N4" s="5" t="n">
        <f aca="false">M4-H4</f>
        <v>626</v>
      </c>
      <c r="O4" s="4" t="n">
        <v>1283</v>
      </c>
      <c r="P4" s="4" t="n">
        <v>640</v>
      </c>
      <c r="Q4" s="6" t="n">
        <f aca="false">IFERROR(K4/J4,0)</f>
        <v>0.9859375</v>
      </c>
    </row>
    <row r="5" customFormat="false" ht="15" hidden="false" customHeight="false" outlineLevel="0" collapsed="false">
      <c r="A5" s="2" t="n">
        <v>10266</v>
      </c>
      <c r="B5" s="3" t="s">
        <v>196</v>
      </c>
      <c r="C5" s="3" t="s">
        <v>193</v>
      </c>
      <c r="D5" s="4" t="n">
        <v>0.75</v>
      </c>
      <c r="E5" s="4" t="n">
        <v>107</v>
      </c>
      <c r="F5" s="4" t="n">
        <v>4</v>
      </c>
      <c r="G5" s="4" t="n">
        <v>113</v>
      </c>
      <c r="H5" s="4" t="n">
        <v>0</v>
      </c>
      <c r="I5" s="5" t="n">
        <f aca="false">E5+G5</f>
        <v>220</v>
      </c>
      <c r="J5" s="4" t="n">
        <v>480</v>
      </c>
      <c r="K5" s="4" t="n">
        <v>420</v>
      </c>
      <c r="L5" s="5" t="n">
        <f aca="false">K5-J5</f>
        <v>-60</v>
      </c>
      <c r="M5" s="4" t="n">
        <v>431</v>
      </c>
      <c r="N5" s="5" t="n">
        <f aca="false">M5-H5</f>
        <v>431</v>
      </c>
      <c r="O5" s="4" t="n">
        <v>853</v>
      </c>
      <c r="P5" s="4" t="n">
        <v>480</v>
      </c>
      <c r="Q5" s="6" t="n">
        <f aca="false">IFERROR(K5/J5,0)</f>
        <v>0.875</v>
      </c>
    </row>
    <row r="6" customFormat="false" ht="15" hidden="false" customHeight="false" outlineLevel="0" collapsed="false">
      <c r="A6" s="2" t="n">
        <v>10267</v>
      </c>
      <c r="B6" s="3" t="s">
        <v>197</v>
      </c>
      <c r="C6" s="3" t="s">
        <v>198</v>
      </c>
      <c r="D6" s="4" t="n">
        <v>1</v>
      </c>
      <c r="E6" s="4" t="n">
        <v>122</v>
      </c>
      <c r="F6" s="4" t="n">
        <v>0</v>
      </c>
      <c r="G6" s="4" t="n">
        <v>129</v>
      </c>
      <c r="H6" s="4" t="n">
        <v>0</v>
      </c>
      <c r="I6" s="5" t="n">
        <f aca="false">E6+G6</f>
        <v>251</v>
      </c>
      <c r="J6" s="4" t="n">
        <v>640</v>
      </c>
      <c r="K6" s="4" t="n">
        <v>545</v>
      </c>
      <c r="L6" s="5" t="n">
        <f aca="false">K6-J6</f>
        <v>-95</v>
      </c>
      <c r="M6" s="4" t="n">
        <v>538</v>
      </c>
      <c r="N6" s="5" t="n">
        <f aca="false">M6-H6</f>
        <v>538</v>
      </c>
      <c r="O6" s="4" t="n">
        <v>1081</v>
      </c>
      <c r="P6" s="4" t="n">
        <v>640</v>
      </c>
      <c r="Q6" s="6" t="n">
        <f aca="false">IFERROR(K6/J6,0)</f>
        <v>0.8515625</v>
      </c>
    </row>
    <row r="7" customFormat="false" ht="15" hidden="false" customHeight="false" outlineLevel="0" collapsed="false">
      <c r="A7" s="2" t="n">
        <v>10268</v>
      </c>
      <c r="B7" s="3" t="s">
        <v>199</v>
      </c>
      <c r="C7" s="3" t="s">
        <v>20</v>
      </c>
      <c r="D7" s="4" t="n">
        <v>0.6</v>
      </c>
      <c r="E7" s="4" t="n">
        <v>92</v>
      </c>
      <c r="F7" s="4" t="n">
        <v>0</v>
      </c>
      <c r="G7" s="4" t="n">
        <v>91</v>
      </c>
      <c r="H7" s="4" t="n">
        <v>0</v>
      </c>
      <c r="I7" s="5" t="n">
        <f aca="false">E7+G7</f>
        <v>183</v>
      </c>
      <c r="J7" s="4" t="n">
        <v>384</v>
      </c>
      <c r="K7" s="4" t="n">
        <v>396</v>
      </c>
      <c r="L7" s="5" t="n">
        <f aca="false">K7-J7</f>
        <v>12</v>
      </c>
      <c r="M7" s="4" t="n">
        <v>402</v>
      </c>
      <c r="N7" s="5" t="n">
        <f aca="false">M7-H7</f>
        <v>402</v>
      </c>
      <c r="O7" s="4" t="n">
        <v>804</v>
      </c>
      <c r="P7" s="4" t="n">
        <v>384</v>
      </c>
      <c r="Q7" s="6" t="n">
        <f aca="false">IFERROR(K7/J7,0)</f>
        <v>1.03125</v>
      </c>
    </row>
    <row r="8" customFormat="false" ht="15" hidden="false" customHeight="false" outlineLevel="0" collapsed="false">
      <c r="A8" s="2" t="n">
        <v>10269</v>
      </c>
      <c r="B8" s="3" t="s">
        <v>200</v>
      </c>
      <c r="C8" s="3" t="s">
        <v>20</v>
      </c>
      <c r="D8" s="4" t="n">
        <v>0.8</v>
      </c>
      <c r="E8" s="4" t="n">
        <v>99</v>
      </c>
      <c r="F8" s="4" t="n">
        <v>0</v>
      </c>
      <c r="G8" s="4" t="n">
        <v>105</v>
      </c>
      <c r="H8" s="4" t="n">
        <v>24</v>
      </c>
      <c r="I8" s="5" t="n">
        <f aca="false">E8+G8</f>
        <v>204</v>
      </c>
      <c r="J8" s="4" t="n">
        <v>512</v>
      </c>
      <c r="K8" s="4" t="n">
        <v>433</v>
      </c>
      <c r="L8" s="5" t="n">
        <f aca="false">K8-J8</f>
        <v>-79</v>
      </c>
      <c r="M8" s="4" t="n">
        <v>430</v>
      </c>
      <c r="N8" s="5" t="n">
        <f aca="false">M8-H8</f>
        <v>406</v>
      </c>
      <c r="O8" s="4" t="n">
        <v>870</v>
      </c>
      <c r="P8" s="4" t="n">
        <v>512</v>
      </c>
      <c r="Q8" s="6" t="n">
        <f aca="false">IFERROR(K8/J8,0)</f>
        <v>0.845703125</v>
      </c>
    </row>
    <row r="9" customFormat="false" ht="15" hidden="false" customHeight="false" outlineLevel="0" collapsed="false">
      <c r="A9" s="2" t="n">
        <v>10270</v>
      </c>
      <c r="B9" s="3" t="s">
        <v>201</v>
      </c>
      <c r="C9" s="3" t="s">
        <v>198</v>
      </c>
      <c r="D9" s="4" t="n">
        <v>0.6</v>
      </c>
      <c r="E9" s="4" t="n">
        <v>101</v>
      </c>
      <c r="F9" s="4" t="n">
        <v>0</v>
      </c>
      <c r="G9" s="4" t="n">
        <v>94</v>
      </c>
      <c r="H9" s="4" t="n">
        <v>0</v>
      </c>
      <c r="I9" s="5" t="n">
        <f aca="false">E9+G9</f>
        <v>195</v>
      </c>
      <c r="J9" s="4" t="n">
        <v>384</v>
      </c>
      <c r="K9" s="4" t="n">
        <v>418</v>
      </c>
      <c r="L9" s="5" t="n">
        <f aca="false">K9-J9</f>
        <v>34</v>
      </c>
      <c r="M9" s="4" t="n">
        <v>418</v>
      </c>
      <c r="N9" s="5" t="n">
        <f aca="false">M9-H9</f>
        <v>418</v>
      </c>
      <c r="O9" s="4" t="n">
        <v>839</v>
      </c>
      <c r="P9" s="4" t="n">
        <v>384</v>
      </c>
      <c r="Q9" s="6" t="n">
        <f aca="false">IFERROR(K9/J9,0)</f>
        <v>1.08854166666667</v>
      </c>
    </row>
    <row r="10" customFormat="false" ht="15" hidden="false" customHeight="false" outlineLevel="0" collapsed="false">
      <c r="A10" s="2" t="n">
        <v>10271</v>
      </c>
      <c r="B10" s="3" t="s">
        <v>202</v>
      </c>
      <c r="C10" s="3" t="s">
        <v>22</v>
      </c>
      <c r="D10" s="4" t="n">
        <v>1</v>
      </c>
      <c r="E10" s="4" t="n">
        <v>150</v>
      </c>
      <c r="F10" s="4" t="n">
        <v>16</v>
      </c>
      <c r="G10" s="4" t="n">
        <v>139</v>
      </c>
      <c r="H10" s="4" t="n">
        <v>24</v>
      </c>
      <c r="I10" s="5" t="n">
        <f aca="false">E10+G10</f>
        <v>289</v>
      </c>
      <c r="J10" s="4" t="n">
        <v>640</v>
      </c>
      <c r="K10" s="4" t="n">
        <v>595</v>
      </c>
      <c r="L10" s="5" t="n">
        <f aca="false">K10-J10</f>
        <v>-45</v>
      </c>
      <c r="M10" s="4" t="n">
        <v>610</v>
      </c>
      <c r="N10" s="5" t="n">
        <f aca="false">M10-H10</f>
        <v>586</v>
      </c>
      <c r="O10" s="4" t="n">
        <v>1181</v>
      </c>
      <c r="P10" s="4" t="n">
        <v>640</v>
      </c>
      <c r="Q10" s="6" t="n">
        <f aca="false">IFERROR(K10/J10,0)</f>
        <v>0.9296875</v>
      </c>
    </row>
    <row r="11" customFormat="false" ht="15" hidden="false" customHeight="false" outlineLevel="0" collapsed="false">
      <c r="A11" s="2" t="n">
        <v>10272</v>
      </c>
      <c r="B11" s="3" t="s">
        <v>203</v>
      </c>
      <c r="C11" s="3" t="s">
        <v>20</v>
      </c>
      <c r="D11" s="4" t="n">
        <v>0.75</v>
      </c>
      <c r="E11" s="4" t="n">
        <v>92</v>
      </c>
      <c r="F11" s="4" t="n">
        <v>0</v>
      </c>
      <c r="G11" s="4" t="n">
        <v>89</v>
      </c>
      <c r="H11" s="4" t="n">
        <v>24</v>
      </c>
      <c r="I11" s="5" t="n">
        <f aca="false">E11+G11</f>
        <v>181</v>
      </c>
      <c r="J11" s="4" t="n">
        <v>480</v>
      </c>
      <c r="K11" s="4" t="n">
        <v>359</v>
      </c>
      <c r="L11" s="5" t="n">
        <f aca="false">K11-J11</f>
        <v>-121</v>
      </c>
      <c r="M11" s="4" t="n">
        <v>352</v>
      </c>
      <c r="N11" s="5" t="n">
        <f aca="false">M11-H11</f>
        <v>328</v>
      </c>
      <c r="O11" s="4" t="n">
        <v>711</v>
      </c>
      <c r="P11" s="4" t="n">
        <v>480</v>
      </c>
      <c r="Q11" s="6" t="n">
        <f aca="false">IFERROR(K11/J11,0)</f>
        <v>0.747916666666667</v>
      </c>
    </row>
    <row r="12" customFormat="false" ht="15" hidden="false" customHeight="false" outlineLevel="0" collapsed="false">
      <c r="A12" s="2" t="n">
        <v>10273</v>
      </c>
      <c r="B12" s="3" t="s">
        <v>204</v>
      </c>
      <c r="C12" s="3" t="s">
        <v>193</v>
      </c>
      <c r="D12" s="4" t="n">
        <v>0.8</v>
      </c>
      <c r="E12" s="4" t="n">
        <v>131</v>
      </c>
      <c r="F12" s="4" t="n">
        <v>0</v>
      </c>
      <c r="G12" s="4" t="n">
        <v>127</v>
      </c>
      <c r="H12" s="4" t="n">
        <v>0</v>
      </c>
      <c r="I12" s="5" t="n">
        <f aca="false">E12+G12</f>
        <v>258</v>
      </c>
      <c r="J12" s="4" t="n">
        <v>512</v>
      </c>
      <c r="K12" s="4" t="n">
        <v>489</v>
      </c>
      <c r="L12" s="5" t="n">
        <f aca="false">K12-J12</f>
        <v>-23</v>
      </c>
      <c r="M12" s="4" t="n">
        <v>497</v>
      </c>
      <c r="N12" s="5" t="n">
        <f aca="false">M12-H12</f>
        <v>497</v>
      </c>
      <c r="O12" s="4" t="n">
        <v>1012</v>
      </c>
      <c r="P12" s="4" t="n">
        <v>512</v>
      </c>
      <c r="Q12" s="6" t="n">
        <f aca="false">IFERROR(K12/J12,0)</f>
        <v>0.955078125</v>
      </c>
    </row>
    <row r="13" customFormat="false" ht="15" hidden="false" customHeight="false" outlineLevel="0" collapsed="false">
      <c r="A13" s="2" t="n">
        <v>10274</v>
      </c>
      <c r="B13" s="3" t="s">
        <v>205</v>
      </c>
      <c r="C13" s="3" t="s">
        <v>193</v>
      </c>
      <c r="D13" s="4" t="n">
        <v>0.5</v>
      </c>
      <c r="E13" s="4" t="n">
        <v>63</v>
      </c>
      <c r="F13" s="4" t="n">
        <v>0</v>
      </c>
      <c r="G13" s="4" t="n">
        <v>61</v>
      </c>
      <c r="H13" s="4" t="n">
        <v>8</v>
      </c>
      <c r="I13" s="5" t="n">
        <f aca="false">E13+G13</f>
        <v>124</v>
      </c>
      <c r="J13" s="4" t="n">
        <v>320</v>
      </c>
      <c r="K13" s="4" t="n">
        <v>267</v>
      </c>
      <c r="L13" s="5" t="n">
        <f aca="false">K13-J13</f>
        <v>-53</v>
      </c>
      <c r="M13" s="4" t="n">
        <v>275</v>
      </c>
      <c r="N13" s="5" t="n">
        <f aca="false">M13-H13</f>
        <v>267</v>
      </c>
      <c r="O13" s="4" t="n">
        <v>534</v>
      </c>
      <c r="P13" s="4" t="n">
        <v>320</v>
      </c>
      <c r="Q13" s="6" t="n">
        <f aca="false">IFERROR(K13/J13,0)</f>
        <v>0.834375</v>
      </c>
    </row>
    <row r="14" customFormat="false" ht="15" hidden="false" customHeight="false" outlineLevel="0" collapsed="false">
      <c r="A14" s="2" t="n">
        <v>10275</v>
      </c>
      <c r="B14" s="3" t="s">
        <v>206</v>
      </c>
      <c r="C14" s="3" t="s">
        <v>20</v>
      </c>
      <c r="D14" s="4" t="n">
        <v>0.75</v>
      </c>
      <c r="E14" s="4" t="n">
        <v>89</v>
      </c>
      <c r="F14" s="4" t="n">
        <v>8</v>
      </c>
      <c r="G14" s="4" t="n">
        <v>91</v>
      </c>
      <c r="H14" s="4" t="n">
        <v>0</v>
      </c>
      <c r="I14" s="5" t="n">
        <f aca="false">E14+G14</f>
        <v>180</v>
      </c>
      <c r="J14" s="4" t="n">
        <v>480</v>
      </c>
      <c r="K14" s="4" t="n">
        <v>356</v>
      </c>
      <c r="L14" s="5" t="n">
        <f aca="false">K14-J14</f>
        <v>-124</v>
      </c>
      <c r="M14" s="4" t="n">
        <v>353</v>
      </c>
      <c r="N14" s="5" t="n">
        <f aca="false">M14-H14</f>
        <v>353</v>
      </c>
      <c r="O14" s="4" t="n">
        <v>698</v>
      </c>
      <c r="P14" s="4" t="n">
        <v>480</v>
      </c>
      <c r="Q14" s="6" t="n">
        <f aca="false">IFERROR(K14/J14,0)</f>
        <v>0.741666666666667</v>
      </c>
    </row>
    <row r="15" customFormat="false" ht="15" hidden="false" customHeight="false" outlineLevel="0" collapsed="false">
      <c r="A15" s="2" t="n">
        <v>10276</v>
      </c>
      <c r="B15" s="3" t="s">
        <v>207</v>
      </c>
      <c r="C15" s="3" t="s">
        <v>208</v>
      </c>
      <c r="D15" s="4" t="n">
        <v>1</v>
      </c>
      <c r="E15" s="4" t="n">
        <v>128</v>
      </c>
      <c r="F15" s="4" t="n">
        <v>0</v>
      </c>
      <c r="G15" s="4" t="n">
        <v>130</v>
      </c>
      <c r="H15" s="4" t="n">
        <v>0</v>
      </c>
      <c r="I15" s="5" t="n">
        <f aca="false">E15+G15</f>
        <v>258</v>
      </c>
      <c r="J15" s="4" t="n">
        <v>640</v>
      </c>
      <c r="K15" s="4" t="n">
        <v>533</v>
      </c>
      <c r="L15" s="5" t="n">
        <f aca="false">K15-J15</f>
        <v>-107</v>
      </c>
      <c r="M15" s="4" t="n">
        <v>527</v>
      </c>
      <c r="N15" s="5" t="n">
        <f aca="false">M15-H15</f>
        <v>527</v>
      </c>
      <c r="O15" s="4" t="n">
        <v>1075</v>
      </c>
      <c r="P15" s="4" t="n">
        <v>640</v>
      </c>
      <c r="Q15" s="6" t="n">
        <f aca="false">IFERROR(K15/J15,0)</f>
        <v>0.8328125</v>
      </c>
    </row>
    <row r="16" customFormat="false" ht="15" hidden="false" customHeight="false" outlineLevel="0" collapsed="false">
      <c r="A16" s="2" t="n">
        <v>10277</v>
      </c>
      <c r="B16" s="3" t="s">
        <v>209</v>
      </c>
      <c r="C16" s="3" t="s">
        <v>20</v>
      </c>
      <c r="D16" s="4" t="n">
        <v>1</v>
      </c>
      <c r="E16" s="4" t="n">
        <v>148</v>
      </c>
      <c r="F16" s="4" t="n">
        <v>0</v>
      </c>
      <c r="G16" s="4" t="n">
        <v>151</v>
      </c>
      <c r="H16" s="4" t="n">
        <v>0</v>
      </c>
      <c r="I16" s="5" t="n">
        <f aca="false">E16+G16</f>
        <v>299</v>
      </c>
      <c r="J16" s="4" t="n">
        <v>640</v>
      </c>
      <c r="K16" s="4" t="n">
        <v>616</v>
      </c>
      <c r="L16" s="5" t="n">
        <f aca="false">K16-J16</f>
        <v>-24</v>
      </c>
      <c r="M16" s="4" t="n">
        <v>606</v>
      </c>
      <c r="N16" s="5" t="n">
        <f aca="false">M16-H16</f>
        <v>606</v>
      </c>
      <c r="O16" s="4" t="n">
        <v>1284</v>
      </c>
      <c r="P16" s="4" t="n">
        <v>640</v>
      </c>
      <c r="Q16" s="6" t="n">
        <f aca="false">IFERROR(K16/J16,0)</f>
        <v>0.9625</v>
      </c>
    </row>
    <row r="17" customFormat="false" ht="15" hidden="false" customHeight="false" outlineLevel="0" collapsed="false">
      <c r="A17" s="2" t="n">
        <v>10278</v>
      </c>
      <c r="B17" s="3" t="s">
        <v>210</v>
      </c>
      <c r="C17" s="3" t="s">
        <v>20</v>
      </c>
      <c r="D17" s="4" t="n">
        <v>1</v>
      </c>
      <c r="E17" s="4" t="n">
        <v>121</v>
      </c>
      <c r="F17" s="4" t="n">
        <v>0</v>
      </c>
      <c r="G17" s="4" t="n">
        <v>128</v>
      </c>
      <c r="H17" s="4" t="n">
        <v>0</v>
      </c>
      <c r="I17" s="5" t="n">
        <f aca="false">E17+G17</f>
        <v>249</v>
      </c>
      <c r="J17" s="4" t="n">
        <v>640</v>
      </c>
      <c r="K17" s="4" t="n">
        <v>527</v>
      </c>
      <c r="L17" s="5" t="n">
        <f aca="false">K17-J17</f>
        <v>-113</v>
      </c>
      <c r="M17" s="4" t="n">
        <v>537</v>
      </c>
      <c r="N17" s="5" t="n">
        <f aca="false">M17-H17</f>
        <v>537</v>
      </c>
      <c r="O17" s="4" t="n">
        <v>1056</v>
      </c>
      <c r="P17" s="4" t="n">
        <v>640</v>
      </c>
      <c r="Q17" s="6" t="n">
        <f aca="false">IFERROR(K17/J17,0)</f>
        <v>0.8234375</v>
      </c>
    </row>
    <row r="18" customFormat="false" ht="15" hidden="false" customHeight="false" outlineLevel="0" collapsed="false">
      <c r="A18" s="2" t="n">
        <v>10279</v>
      </c>
      <c r="B18" s="3" t="s">
        <v>211</v>
      </c>
      <c r="C18" s="3" t="s">
        <v>22</v>
      </c>
      <c r="D18" s="4" t="n">
        <v>0.75</v>
      </c>
      <c r="E18" s="4" t="n">
        <v>120</v>
      </c>
      <c r="F18" s="4" t="n">
        <v>0</v>
      </c>
      <c r="G18" s="4" t="n">
        <v>123</v>
      </c>
      <c r="H18" s="4" t="n">
        <v>16</v>
      </c>
      <c r="I18" s="5" t="n">
        <f aca="false">E18+G18</f>
        <v>243</v>
      </c>
      <c r="J18" s="4" t="n">
        <v>480</v>
      </c>
      <c r="K18" s="4" t="n">
        <v>453</v>
      </c>
      <c r="L18" s="5" t="n">
        <f aca="false">K18-J18</f>
        <v>-27</v>
      </c>
      <c r="M18" s="4" t="n">
        <v>451</v>
      </c>
      <c r="N18" s="5" t="n">
        <f aca="false">M18-H18</f>
        <v>435</v>
      </c>
      <c r="O18" s="4" t="n">
        <v>906</v>
      </c>
      <c r="P18" s="4" t="n">
        <v>480</v>
      </c>
      <c r="Q18" s="6" t="n">
        <f aca="false">IFERROR(K18/J18,0)</f>
        <v>0.94375</v>
      </c>
    </row>
    <row r="19" customFormat="false" ht="15" hidden="false" customHeight="false" outlineLevel="0" collapsed="false">
      <c r="A19" s="2" t="n">
        <v>10280</v>
      </c>
      <c r="B19" s="3" t="s">
        <v>212</v>
      </c>
      <c r="C19" s="3" t="s">
        <v>22</v>
      </c>
      <c r="D19" s="4" t="n">
        <v>1</v>
      </c>
      <c r="E19" s="4" t="n">
        <v>149</v>
      </c>
      <c r="F19" s="4" t="n">
        <v>0</v>
      </c>
      <c r="G19" s="4" t="n">
        <v>152</v>
      </c>
      <c r="H19" s="4" t="n">
        <v>16</v>
      </c>
      <c r="I19" s="5" t="n">
        <f aca="false">E19+G19</f>
        <v>301</v>
      </c>
      <c r="J19" s="4" t="n">
        <v>640</v>
      </c>
      <c r="K19" s="4" t="n">
        <v>635</v>
      </c>
      <c r="L19" s="5" t="n">
        <f aca="false">K19-J19</f>
        <v>-5</v>
      </c>
      <c r="M19" s="4" t="n">
        <v>642</v>
      </c>
      <c r="N19" s="5" t="n">
        <f aca="false">M19-H19</f>
        <v>626</v>
      </c>
      <c r="O19" s="4" t="n">
        <v>1330</v>
      </c>
      <c r="P19" s="4" t="n">
        <v>640</v>
      </c>
      <c r="Q19" s="6" t="n">
        <f aca="false">IFERROR(K19/J19,0)</f>
        <v>0.9921875</v>
      </c>
    </row>
    <row r="20" customFormat="false" ht="15" hidden="false" customHeight="false" outlineLevel="0" collapsed="false">
      <c r="A20" s="2" t="n">
        <v>10281</v>
      </c>
      <c r="B20" s="3" t="s">
        <v>213</v>
      </c>
      <c r="C20" s="3" t="s">
        <v>193</v>
      </c>
      <c r="D20" s="4" t="n">
        <v>0.8</v>
      </c>
      <c r="E20" s="4" t="n">
        <v>139</v>
      </c>
      <c r="F20" s="4" t="n">
        <v>0</v>
      </c>
      <c r="G20" s="4" t="n">
        <v>129</v>
      </c>
      <c r="H20" s="4" t="n">
        <v>16</v>
      </c>
      <c r="I20" s="5" t="n">
        <f aca="false">E20+G20</f>
        <v>268</v>
      </c>
      <c r="J20" s="4" t="n">
        <v>512</v>
      </c>
      <c r="K20" s="4" t="n">
        <v>562</v>
      </c>
      <c r="L20" s="5" t="n">
        <f aca="false">K20-J20</f>
        <v>50</v>
      </c>
      <c r="M20" s="4" t="n">
        <v>552</v>
      </c>
      <c r="N20" s="5" t="n">
        <f aca="false">M20-H20</f>
        <v>536</v>
      </c>
      <c r="O20" s="4" t="n">
        <v>1157</v>
      </c>
      <c r="P20" s="4" t="n">
        <v>512</v>
      </c>
      <c r="Q20" s="6" t="n">
        <f aca="false">IFERROR(K20/J20,0)</f>
        <v>1.09765625</v>
      </c>
    </row>
    <row r="21" customFormat="false" ht="15" hidden="false" customHeight="false" outlineLevel="0" collapsed="false">
      <c r="A21" s="2" t="n">
        <v>10282</v>
      </c>
      <c r="B21" s="3" t="s">
        <v>214</v>
      </c>
      <c r="C21" s="3" t="s">
        <v>198</v>
      </c>
      <c r="D21" s="4" t="n">
        <v>1</v>
      </c>
      <c r="E21" s="4" t="n">
        <v>148</v>
      </c>
      <c r="F21" s="4" t="n">
        <v>0</v>
      </c>
      <c r="G21" s="4" t="n">
        <v>157</v>
      </c>
      <c r="H21" s="4" t="n">
        <v>0</v>
      </c>
      <c r="I21" s="5" t="n">
        <f aca="false">E21+G21</f>
        <v>305</v>
      </c>
      <c r="J21" s="4" t="n">
        <v>640</v>
      </c>
      <c r="K21" s="4" t="n">
        <v>594</v>
      </c>
      <c r="L21" s="5" t="n">
        <f aca="false">K21-J21</f>
        <v>-46</v>
      </c>
      <c r="M21" s="4" t="n">
        <v>587</v>
      </c>
      <c r="N21" s="5" t="n">
        <f aca="false">M21-H21</f>
        <v>587</v>
      </c>
      <c r="O21" s="4" t="n">
        <v>1196</v>
      </c>
      <c r="P21" s="4" t="n">
        <v>640</v>
      </c>
      <c r="Q21" s="6" t="n">
        <f aca="false">IFERROR(K21/J21,0)</f>
        <v>0.928125</v>
      </c>
    </row>
    <row r="22" customFormat="false" ht="15" hidden="false" customHeight="false" outlineLevel="0" collapsed="false">
      <c r="A22" s="2" t="n">
        <v>10283</v>
      </c>
      <c r="B22" s="3" t="s">
        <v>215</v>
      </c>
      <c r="C22" s="3" t="s">
        <v>193</v>
      </c>
      <c r="D22" s="4" t="n">
        <v>0.6</v>
      </c>
      <c r="E22" s="4" t="n">
        <v>111</v>
      </c>
      <c r="F22" s="4" t="n">
        <v>8</v>
      </c>
      <c r="G22" s="4" t="n">
        <v>110</v>
      </c>
      <c r="H22" s="4" t="n">
        <v>0</v>
      </c>
      <c r="I22" s="5" t="n">
        <f aca="false">E22+G22</f>
        <v>221</v>
      </c>
      <c r="J22" s="4" t="n">
        <v>384</v>
      </c>
      <c r="K22" s="4" t="n">
        <v>428</v>
      </c>
      <c r="L22" s="5" t="n">
        <f aca="false">K22-J22</f>
        <v>44</v>
      </c>
      <c r="M22" s="4" t="n">
        <v>439</v>
      </c>
      <c r="N22" s="5" t="n">
        <f aca="false">M22-H22</f>
        <v>439</v>
      </c>
      <c r="O22" s="4" t="n">
        <v>869</v>
      </c>
      <c r="P22" s="4" t="n">
        <v>384</v>
      </c>
      <c r="Q22" s="6" t="n">
        <f aca="false">IFERROR(K22/J22,0)</f>
        <v>1.11458333333333</v>
      </c>
    </row>
    <row r="23" customFormat="false" ht="15" hidden="false" customHeight="false" outlineLevel="0" collapsed="false">
      <c r="A23" s="2" t="n">
        <v>10284</v>
      </c>
      <c r="B23" s="3" t="s">
        <v>216</v>
      </c>
      <c r="C23" s="3" t="s">
        <v>31</v>
      </c>
      <c r="D23" s="4" t="n">
        <v>1</v>
      </c>
      <c r="E23" s="4" t="n">
        <v>143</v>
      </c>
      <c r="F23" s="4" t="n">
        <v>0</v>
      </c>
      <c r="G23" s="4" t="n">
        <v>139</v>
      </c>
      <c r="H23" s="4" t="n">
        <v>16</v>
      </c>
      <c r="I23" s="5" t="n">
        <f aca="false">E23+G23</f>
        <v>282</v>
      </c>
      <c r="J23" s="4" t="n">
        <v>640</v>
      </c>
      <c r="K23" s="4" t="n">
        <v>524</v>
      </c>
      <c r="L23" s="5" t="n">
        <f aca="false">K23-J23</f>
        <v>-116</v>
      </c>
      <c r="M23" s="4" t="n">
        <v>539</v>
      </c>
      <c r="N23" s="5" t="n">
        <f aca="false">M23-H23</f>
        <v>523</v>
      </c>
      <c r="O23" s="4" t="n">
        <v>1056</v>
      </c>
      <c r="P23" s="4" t="n">
        <v>640</v>
      </c>
      <c r="Q23" s="6" t="n">
        <f aca="false">IFERROR(K23/J23,0)</f>
        <v>0.81875</v>
      </c>
    </row>
    <row r="24" customFormat="false" ht="15" hidden="false" customHeight="false" outlineLevel="0" collapsed="false">
      <c r="A24" s="2" t="n">
        <v>10285</v>
      </c>
      <c r="B24" s="3" t="s">
        <v>217</v>
      </c>
      <c r="C24" s="3" t="s">
        <v>31</v>
      </c>
      <c r="D24" s="4" t="n">
        <v>1</v>
      </c>
      <c r="E24" s="4" t="n">
        <v>155</v>
      </c>
      <c r="F24" s="4" t="n">
        <v>8</v>
      </c>
      <c r="G24" s="4" t="n">
        <v>157</v>
      </c>
      <c r="H24" s="4" t="n">
        <v>8</v>
      </c>
      <c r="I24" s="5" t="n">
        <f aca="false">E24+G24</f>
        <v>312</v>
      </c>
      <c r="J24" s="4" t="n">
        <v>640</v>
      </c>
      <c r="K24" s="4" t="n">
        <v>629</v>
      </c>
      <c r="L24" s="5" t="n">
        <f aca="false">K24-J24</f>
        <v>-11</v>
      </c>
      <c r="M24" s="4" t="n">
        <v>632</v>
      </c>
      <c r="N24" s="5" t="n">
        <f aca="false">M24-H24</f>
        <v>624</v>
      </c>
      <c r="O24" s="4" t="n">
        <v>1259</v>
      </c>
      <c r="P24" s="4" t="n">
        <v>640</v>
      </c>
      <c r="Q24" s="6" t="n">
        <f aca="false">IFERROR(K24/J24,0)</f>
        <v>0.9828125</v>
      </c>
    </row>
    <row r="25" customFormat="false" ht="15" hidden="false" customHeight="false" outlineLevel="0" collapsed="false">
      <c r="A25" s="2" t="n">
        <v>10286</v>
      </c>
      <c r="B25" s="3" t="s">
        <v>218</v>
      </c>
      <c r="C25" s="3" t="s">
        <v>198</v>
      </c>
      <c r="D25" s="4" t="n">
        <v>1</v>
      </c>
      <c r="E25" s="4" t="n">
        <v>158</v>
      </c>
      <c r="F25" s="4" t="n">
        <v>0</v>
      </c>
      <c r="G25" s="4" t="n">
        <v>163</v>
      </c>
      <c r="H25" s="4" t="n">
        <v>0</v>
      </c>
      <c r="I25" s="5" t="n">
        <f aca="false">E25+G25</f>
        <v>321</v>
      </c>
      <c r="J25" s="4" t="n">
        <v>640</v>
      </c>
      <c r="K25" s="4" t="n">
        <v>682</v>
      </c>
      <c r="L25" s="5" t="n">
        <f aca="false">K25-J25</f>
        <v>42</v>
      </c>
      <c r="M25" s="4" t="n">
        <v>685</v>
      </c>
      <c r="N25" s="5" t="n">
        <f aca="false">M25-H25</f>
        <v>685</v>
      </c>
      <c r="O25" s="4" t="n">
        <v>1379</v>
      </c>
      <c r="P25" s="4" t="n">
        <v>640</v>
      </c>
      <c r="Q25" s="6" t="n">
        <f aca="false">IFERROR(K25/J25,0)</f>
        <v>1.065625</v>
      </c>
    </row>
    <row r="26" customFormat="false" ht="15" hidden="false" customHeight="false" outlineLevel="0" collapsed="false">
      <c r="A26" s="2" t="n">
        <v>10287</v>
      </c>
      <c r="B26" s="3" t="s">
        <v>219</v>
      </c>
      <c r="C26" s="3" t="s">
        <v>20</v>
      </c>
      <c r="D26" s="4" t="n">
        <v>0.75</v>
      </c>
      <c r="E26" s="4" t="n">
        <v>97</v>
      </c>
      <c r="F26" s="4" t="n">
        <v>4</v>
      </c>
      <c r="G26" s="4" t="n">
        <v>95</v>
      </c>
      <c r="H26" s="4" t="n">
        <v>0</v>
      </c>
      <c r="I26" s="5" t="n">
        <f aca="false">E26+G26</f>
        <v>192</v>
      </c>
      <c r="J26" s="4" t="n">
        <v>480</v>
      </c>
      <c r="K26" s="4" t="n">
        <v>364</v>
      </c>
      <c r="L26" s="5" t="n">
        <f aca="false">K26-J26</f>
        <v>-116</v>
      </c>
      <c r="M26" s="4" t="n">
        <v>375</v>
      </c>
      <c r="N26" s="5" t="n">
        <f aca="false">M26-H26</f>
        <v>375</v>
      </c>
      <c r="O26" s="4" t="n">
        <v>723</v>
      </c>
      <c r="P26" s="4" t="n">
        <v>480</v>
      </c>
      <c r="Q26" s="6" t="n">
        <f aca="false">IFERROR(K26/J26,0)</f>
        <v>0.758333333333333</v>
      </c>
    </row>
    <row r="27" customFormat="false" ht="15" hidden="false" customHeight="false" outlineLevel="0" collapsed="false">
      <c r="A27" s="2" t="n">
        <v>10288</v>
      </c>
      <c r="B27" s="3" t="s">
        <v>220</v>
      </c>
      <c r="C27" s="3" t="s">
        <v>208</v>
      </c>
      <c r="D27" s="4" t="n">
        <v>0.8</v>
      </c>
      <c r="E27" s="4" t="n">
        <v>127</v>
      </c>
      <c r="F27" s="4" t="n">
        <v>0</v>
      </c>
      <c r="G27" s="4" t="n">
        <v>125</v>
      </c>
      <c r="H27" s="4" t="n">
        <v>0</v>
      </c>
      <c r="I27" s="5" t="n">
        <f aca="false">E27+G27</f>
        <v>252</v>
      </c>
      <c r="J27" s="4" t="n">
        <v>512</v>
      </c>
      <c r="K27" s="4" t="n">
        <v>530</v>
      </c>
      <c r="L27" s="5" t="n">
        <f aca="false">K27-J27</f>
        <v>18</v>
      </c>
      <c r="M27" s="4" t="n">
        <v>536</v>
      </c>
      <c r="N27" s="5" t="n">
        <f aca="false">M27-H27</f>
        <v>536</v>
      </c>
      <c r="O27" s="4" t="n">
        <v>1049</v>
      </c>
      <c r="P27" s="4" t="n">
        <v>512</v>
      </c>
      <c r="Q27" s="6" t="n">
        <f aca="false">IFERROR(K27/J27,0)</f>
        <v>1.03515625</v>
      </c>
    </row>
    <row r="28" customFormat="false" ht="15" hidden="false" customHeight="false" outlineLevel="0" collapsed="false">
      <c r="A28" s="2" t="n">
        <v>10289</v>
      </c>
      <c r="B28" s="3" t="s">
        <v>221</v>
      </c>
      <c r="C28" s="3" t="s">
        <v>20</v>
      </c>
      <c r="D28" s="4" t="n">
        <v>1</v>
      </c>
      <c r="E28" s="4" t="n">
        <v>166</v>
      </c>
      <c r="F28" s="4" t="n">
        <v>8</v>
      </c>
      <c r="G28" s="4" t="n">
        <v>176</v>
      </c>
      <c r="H28" s="4" t="n">
        <v>0</v>
      </c>
      <c r="I28" s="5" t="n">
        <f aca="false">E28+G28</f>
        <v>342</v>
      </c>
      <c r="J28" s="4" t="n">
        <v>640</v>
      </c>
      <c r="K28" s="4" t="n">
        <v>735</v>
      </c>
      <c r="L28" s="5" t="n">
        <f aca="false">K28-J28</f>
        <v>95</v>
      </c>
      <c r="M28" s="4" t="n">
        <v>732</v>
      </c>
      <c r="N28" s="5" t="n">
        <f aca="false">M28-H28</f>
        <v>732</v>
      </c>
      <c r="O28" s="4" t="n">
        <v>1484</v>
      </c>
      <c r="P28" s="4" t="n">
        <v>640</v>
      </c>
      <c r="Q28" s="6" t="n">
        <f aca="false">IFERROR(K28/J28,0)</f>
        <v>1.1484375</v>
      </c>
    </row>
    <row r="29" customFormat="false" ht="15" hidden="false" customHeight="false" outlineLevel="0" collapsed="false">
      <c r="A29" s="2" t="n">
        <v>10290</v>
      </c>
      <c r="B29" s="3" t="s">
        <v>222</v>
      </c>
      <c r="C29" s="3" t="s">
        <v>208</v>
      </c>
      <c r="D29" s="4" t="n">
        <v>0.5</v>
      </c>
      <c r="E29" s="4" t="n">
        <v>71</v>
      </c>
      <c r="F29" s="4" t="n">
        <v>0</v>
      </c>
      <c r="G29" s="4" t="n">
        <v>73</v>
      </c>
      <c r="H29" s="4" t="n">
        <v>0</v>
      </c>
      <c r="I29" s="5" t="n">
        <f aca="false">E29+G29</f>
        <v>144</v>
      </c>
      <c r="J29" s="4" t="n">
        <v>320</v>
      </c>
      <c r="K29" s="4" t="n">
        <v>306</v>
      </c>
      <c r="L29" s="5" t="n">
        <f aca="false">K29-J29</f>
        <v>-14</v>
      </c>
      <c r="M29" s="4" t="n">
        <v>310</v>
      </c>
      <c r="N29" s="5" t="n">
        <f aca="false">M29-H29</f>
        <v>310</v>
      </c>
      <c r="O29" s="4" t="n">
        <v>633</v>
      </c>
      <c r="P29" s="4" t="n">
        <v>320</v>
      </c>
      <c r="Q29" s="6" t="n">
        <f aca="false">IFERROR(K29/J29,0)</f>
        <v>0.95625</v>
      </c>
    </row>
    <row r="30" customFormat="false" ht="15" hidden="false" customHeight="false" outlineLevel="0" collapsed="false">
      <c r="A30" s="2" t="n">
        <v>10291</v>
      </c>
      <c r="B30" s="3" t="s">
        <v>223</v>
      </c>
      <c r="C30" s="3" t="s">
        <v>208</v>
      </c>
      <c r="D30" s="4" t="n">
        <v>1</v>
      </c>
      <c r="E30" s="4" t="n">
        <v>142</v>
      </c>
      <c r="F30" s="4" t="n">
        <v>0</v>
      </c>
      <c r="G30" s="4" t="n">
        <v>144</v>
      </c>
      <c r="H30" s="4" t="n">
        <v>8</v>
      </c>
      <c r="I30" s="5" t="n">
        <f aca="false">E30+G30</f>
        <v>286</v>
      </c>
      <c r="J30" s="4" t="n">
        <v>640</v>
      </c>
      <c r="K30" s="4" t="n">
        <v>607</v>
      </c>
      <c r="L30" s="5" t="n">
        <f aca="false">K30-J30</f>
        <v>-33</v>
      </c>
      <c r="M30" s="4" t="n">
        <v>608</v>
      </c>
      <c r="N30" s="5" t="n">
        <f aca="false">M30-H30</f>
        <v>600</v>
      </c>
      <c r="O30" s="4" t="n">
        <v>1228</v>
      </c>
      <c r="P30" s="4" t="n">
        <v>640</v>
      </c>
      <c r="Q30" s="6" t="n">
        <f aca="false">IFERROR(K30/J30,0)</f>
        <v>0.9484375</v>
      </c>
    </row>
    <row r="31" customFormat="false" ht="15" hidden="false" customHeight="false" outlineLevel="0" collapsed="false">
      <c r="A31" s="2" t="n">
        <v>10292</v>
      </c>
      <c r="B31" s="3" t="s">
        <v>224</v>
      </c>
      <c r="C31" s="3" t="s">
        <v>208</v>
      </c>
      <c r="D31" s="4" t="n">
        <v>1</v>
      </c>
      <c r="E31" s="4" t="n">
        <v>150</v>
      </c>
      <c r="F31" s="4" t="n">
        <v>0</v>
      </c>
      <c r="G31" s="4" t="n">
        <v>161</v>
      </c>
      <c r="H31" s="4" t="n">
        <v>0</v>
      </c>
      <c r="I31" s="5" t="n">
        <f aca="false">E31+G31</f>
        <v>311</v>
      </c>
      <c r="J31" s="4" t="n">
        <v>640</v>
      </c>
      <c r="K31" s="4" t="n">
        <v>626</v>
      </c>
      <c r="L31" s="5" t="n">
        <f aca="false">K31-J31</f>
        <v>-14</v>
      </c>
      <c r="M31" s="4" t="n">
        <v>618</v>
      </c>
      <c r="N31" s="5" t="n">
        <f aca="false">M31-H31</f>
        <v>618</v>
      </c>
      <c r="O31" s="4" t="n">
        <v>1297</v>
      </c>
      <c r="P31" s="4" t="n">
        <v>640</v>
      </c>
      <c r="Q31" s="6" t="n">
        <f aca="false">IFERROR(K31/J31,0)</f>
        <v>0.978125</v>
      </c>
    </row>
    <row r="32" customFormat="false" ht="15" hidden="false" customHeight="false" outlineLevel="0" collapsed="false">
      <c r="A32" s="2" t="n">
        <v>10293</v>
      </c>
      <c r="B32" s="3" t="s">
        <v>225</v>
      </c>
      <c r="C32" s="3" t="s">
        <v>20</v>
      </c>
      <c r="D32" s="4" t="n">
        <v>0.75</v>
      </c>
      <c r="E32" s="4" t="n">
        <v>112</v>
      </c>
      <c r="F32" s="4" t="n">
        <v>8</v>
      </c>
      <c r="G32" s="4" t="n">
        <v>110</v>
      </c>
      <c r="H32" s="4" t="n">
        <v>0</v>
      </c>
      <c r="I32" s="5" t="n">
        <f aca="false">E32+G32</f>
        <v>222</v>
      </c>
      <c r="J32" s="4" t="n">
        <v>480</v>
      </c>
      <c r="K32" s="4" t="n">
        <v>470</v>
      </c>
      <c r="L32" s="5" t="n">
        <f aca="false">K32-J32</f>
        <v>-10</v>
      </c>
      <c r="M32" s="4" t="n">
        <v>461</v>
      </c>
      <c r="N32" s="5" t="n">
        <f aca="false">M32-H32</f>
        <v>461</v>
      </c>
      <c r="O32" s="4" t="n">
        <v>932</v>
      </c>
      <c r="P32" s="4" t="n">
        <v>480</v>
      </c>
      <c r="Q32" s="6" t="n">
        <f aca="false">IFERROR(K32/J32,0)</f>
        <v>0.979166666666667</v>
      </c>
    </row>
    <row r="33" customFormat="false" ht="15" hidden="false" customHeight="false" outlineLevel="0" collapsed="false">
      <c r="A33" s="2" t="n">
        <v>10294</v>
      </c>
      <c r="B33" s="3" t="s">
        <v>226</v>
      </c>
      <c r="C33" s="3" t="s">
        <v>22</v>
      </c>
      <c r="D33" s="4" t="n">
        <v>0.75</v>
      </c>
      <c r="E33" s="4" t="n">
        <v>121</v>
      </c>
      <c r="F33" s="4" t="n">
        <v>0</v>
      </c>
      <c r="G33" s="4" t="n">
        <v>125</v>
      </c>
      <c r="H33" s="4" t="n">
        <v>40</v>
      </c>
      <c r="I33" s="5" t="n">
        <f aca="false">E33+G33</f>
        <v>246</v>
      </c>
      <c r="J33" s="4" t="n">
        <v>480</v>
      </c>
      <c r="K33" s="4" t="n">
        <v>486</v>
      </c>
      <c r="L33" s="5" t="n">
        <f aca="false">K33-J33</f>
        <v>6</v>
      </c>
      <c r="M33" s="4" t="n">
        <v>489</v>
      </c>
      <c r="N33" s="5" t="n">
        <f aca="false">M33-H33</f>
        <v>449</v>
      </c>
      <c r="O33" s="4" t="n">
        <v>1003</v>
      </c>
      <c r="P33" s="4" t="n">
        <v>480</v>
      </c>
      <c r="Q33" s="6" t="n">
        <f aca="false">IFERROR(K33/J33,0)</f>
        <v>1.0125</v>
      </c>
    </row>
    <row r="34" customFormat="false" ht="15" hidden="false" customHeight="false" outlineLevel="0" collapsed="false">
      <c r="A34" s="2" t="n">
        <v>10295</v>
      </c>
      <c r="B34" s="3" t="s">
        <v>227</v>
      </c>
      <c r="C34" s="3" t="s">
        <v>22</v>
      </c>
      <c r="D34" s="4" t="n">
        <v>0.5</v>
      </c>
      <c r="E34" s="4" t="n">
        <v>77</v>
      </c>
      <c r="F34" s="4" t="n">
        <v>0</v>
      </c>
      <c r="G34" s="4" t="n">
        <v>72</v>
      </c>
      <c r="H34" s="4" t="n">
        <v>0</v>
      </c>
      <c r="I34" s="5" t="n">
        <f aca="false">E34+G34</f>
        <v>149</v>
      </c>
      <c r="J34" s="4" t="n">
        <v>320</v>
      </c>
      <c r="K34" s="4" t="n">
        <v>311</v>
      </c>
      <c r="L34" s="5" t="n">
        <f aca="false">K34-J34</f>
        <v>-9</v>
      </c>
      <c r="M34" s="4" t="n">
        <v>318</v>
      </c>
      <c r="N34" s="5" t="n">
        <f aca="false">M34-H34</f>
        <v>318</v>
      </c>
      <c r="O34" s="4" t="n">
        <v>611</v>
      </c>
      <c r="P34" s="4" t="n">
        <v>320</v>
      </c>
      <c r="Q34" s="6" t="n">
        <f aca="false">IFERROR(K34/J34,0)</f>
        <v>0.971875</v>
      </c>
    </row>
    <row r="35" customFormat="false" ht="15" hidden="false" customHeight="false" outlineLevel="0" collapsed="false">
      <c r="A35" s="2" t="n">
        <v>10296</v>
      </c>
      <c r="B35" s="3" t="s">
        <v>228</v>
      </c>
      <c r="C35" s="3" t="s">
        <v>208</v>
      </c>
      <c r="D35" s="4" t="n">
        <v>1</v>
      </c>
      <c r="E35" s="4" t="n">
        <v>184</v>
      </c>
      <c r="F35" s="4" t="n">
        <v>0</v>
      </c>
      <c r="G35" s="4" t="n">
        <v>187</v>
      </c>
      <c r="H35" s="4" t="n">
        <v>16</v>
      </c>
      <c r="I35" s="5" t="n">
        <f aca="false">E35+G35</f>
        <v>371</v>
      </c>
      <c r="J35" s="4" t="n">
        <v>640</v>
      </c>
      <c r="K35" s="4" t="n">
        <v>729</v>
      </c>
      <c r="L35" s="5" t="n">
        <f aca="false">K35-J35</f>
        <v>89</v>
      </c>
      <c r="M35" s="4" t="n">
        <v>744</v>
      </c>
      <c r="N35" s="5" t="n">
        <f aca="false">M35-H35</f>
        <v>728</v>
      </c>
      <c r="O35" s="4" t="n">
        <v>1510</v>
      </c>
      <c r="P35" s="4" t="n">
        <v>640</v>
      </c>
      <c r="Q35" s="6" t="n">
        <f aca="false">IFERROR(K35/J35,0)</f>
        <v>1.1390625</v>
      </c>
    </row>
    <row r="36" customFormat="false" ht="15" hidden="false" customHeight="false" outlineLevel="0" collapsed="false">
      <c r="A36" s="2" t="n">
        <v>10297</v>
      </c>
      <c r="B36" s="3" t="s">
        <v>229</v>
      </c>
      <c r="C36" s="3" t="s">
        <v>22</v>
      </c>
      <c r="D36" s="4" t="n">
        <v>1</v>
      </c>
      <c r="E36" s="4" t="n">
        <v>136</v>
      </c>
      <c r="F36" s="4" t="n">
        <v>0</v>
      </c>
      <c r="G36" s="4" t="n">
        <v>126</v>
      </c>
      <c r="H36" s="4" t="n">
        <v>30</v>
      </c>
      <c r="I36" s="5" t="n">
        <f aca="false">E36+G36</f>
        <v>262</v>
      </c>
      <c r="J36" s="4" t="n">
        <v>640</v>
      </c>
      <c r="K36" s="4" t="n">
        <v>517</v>
      </c>
      <c r="L36" s="5" t="n">
        <f aca="false">K36-J36</f>
        <v>-123</v>
      </c>
      <c r="M36" s="4" t="n">
        <v>528</v>
      </c>
      <c r="N36" s="5" t="n">
        <f aca="false">M36-H36</f>
        <v>498</v>
      </c>
      <c r="O36" s="4" t="n">
        <v>1019</v>
      </c>
      <c r="P36" s="4" t="n">
        <v>640</v>
      </c>
      <c r="Q36" s="6" t="n">
        <f aca="false">IFERROR(K36/J36,0)</f>
        <v>0.8078125</v>
      </c>
    </row>
    <row r="37" customFormat="false" ht="15" hidden="false" customHeight="false" outlineLevel="0" collapsed="false">
      <c r="A37" s="2" t="n">
        <v>10298</v>
      </c>
      <c r="B37" s="3" t="s">
        <v>230</v>
      </c>
      <c r="C37" s="3" t="s">
        <v>20</v>
      </c>
      <c r="D37" s="4" t="n">
        <v>1</v>
      </c>
      <c r="E37" s="4" t="n">
        <v>145</v>
      </c>
      <c r="F37" s="4" t="n">
        <v>4</v>
      </c>
      <c r="G37" s="4" t="n">
        <v>138</v>
      </c>
      <c r="H37" s="4" t="n">
        <v>8</v>
      </c>
      <c r="I37" s="5" t="n">
        <f aca="false">E37+G37</f>
        <v>283</v>
      </c>
      <c r="J37" s="4" t="n">
        <v>640</v>
      </c>
      <c r="K37" s="4" t="n">
        <v>548</v>
      </c>
      <c r="L37" s="5" t="n">
        <f aca="false">K37-J37</f>
        <v>-92</v>
      </c>
      <c r="M37" s="4" t="n">
        <v>550</v>
      </c>
      <c r="N37" s="5" t="n">
        <f aca="false">M37-H37</f>
        <v>542</v>
      </c>
      <c r="O37" s="4" t="n">
        <v>1116</v>
      </c>
      <c r="P37" s="4" t="n">
        <v>640</v>
      </c>
      <c r="Q37" s="6" t="n">
        <f aca="false">IFERROR(K37/J37,0)</f>
        <v>0.85625</v>
      </c>
    </row>
    <row r="38" customFormat="false" ht="15" hidden="false" customHeight="false" outlineLevel="0" collapsed="false">
      <c r="A38" s="2" t="n">
        <v>10299</v>
      </c>
      <c r="B38" s="3" t="s">
        <v>231</v>
      </c>
      <c r="C38" s="3" t="s">
        <v>31</v>
      </c>
      <c r="D38" s="4" t="n">
        <v>0.8</v>
      </c>
      <c r="E38" s="4" t="n">
        <v>98</v>
      </c>
      <c r="F38" s="4" t="n">
        <v>12</v>
      </c>
      <c r="G38" s="4" t="n">
        <v>102</v>
      </c>
      <c r="H38" s="4" t="n">
        <v>0</v>
      </c>
      <c r="I38" s="5" t="n">
        <f aca="false">E38+G38</f>
        <v>200</v>
      </c>
      <c r="J38" s="4" t="n">
        <v>512</v>
      </c>
      <c r="K38" s="4" t="n">
        <v>400</v>
      </c>
      <c r="L38" s="5" t="n">
        <f aca="false">K38-J38</f>
        <v>-112</v>
      </c>
      <c r="M38" s="4" t="n">
        <v>411</v>
      </c>
      <c r="N38" s="5" t="n">
        <f aca="false">M38-H38</f>
        <v>411</v>
      </c>
      <c r="O38" s="4" t="n">
        <v>800</v>
      </c>
      <c r="P38" s="4" t="n">
        <v>512</v>
      </c>
      <c r="Q38" s="6" t="n">
        <f aca="false">IFERROR(K38/J38,0)</f>
        <v>0.78125</v>
      </c>
    </row>
    <row r="39" customFormat="false" ht="15" hidden="false" customHeight="false" outlineLevel="0" collapsed="false">
      <c r="A39" s="2" t="n">
        <v>10300</v>
      </c>
      <c r="B39" s="3" t="s">
        <v>232</v>
      </c>
      <c r="C39" s="3" t="s">
        <v>22</v>
      </c>
      <c r="D39" s="4" t="n">
        <v>1</v>
      </c>
      <c r="E39" s="4" t="n">
        <v>145</v>
      </c>
      <c r="F39" s="4" t="n">
        <v>0</v>
      </c>
      <c r="G39" s="4" t="n">
        <v>145</v>
      </c>
      <c r="H39" s="4" t="n">
        <v>0</v>
      </c>
      <c r="I39" s="5" t="n">
        <f aca="false">E39+G39</f>
        <v>290</v>
      </c>
      <c r="J39" s="4" t="n">
        <v>640</v>
      </c>
      <c r="K39" s="4" t="n">
        <v>624</v>
      </c>
      <c r="L39" s="5" t="n">
        <f aca="false">K39-J39</f>
        <v>-16</v>
      </c>
      <c r="M39" s="4" t="n">
        <v>618</v>
      </c>
      <c r="N39" s="5" t="n">
        <f aca="false">M39-H39</f>
        <v>618</v>
      </c>
      <c r="O39" s="4" t="n">
        <v>1242</v>
      </c>
      <c r="P39" s="4" t="n">
        <v>640</v>
      </c>
      <c r="Q39" s="6" t="n">
        <f aca="false">IFERROR(K39/J39,0)</f>
        <v>0.975</v>
      </c>
    </row>
    <row r="40" customFormat="false" ht="15" hidden="false" customHeight="false" outlineLevel="0" collapsed="false">
      <c r="A40" s="2" t="n">
        <v>10301</v>
      </c>
      <c r="B40" s="3" t="s">
        <v>233</v>
      </c>
      <c r="C40" s="3" t="s">
        <v>22</v>
      </c>
      <c r="D40" s="4" t="n">
        <v>0.5</v>
      </c>
      <c r="E40" s="4" t="n">
        <v>79</v>
      </c>
      <c r="F40" s="4" t="n">
        <v>0</v>
      </c>
      <c r="G40" s="4" t="n">
        <v>84</v>
      </c>
      <c r="H40" s="4" t="n">
        <v>16</v>
      </c>
      <c r="I40" s="5" t="n">
        <f aca="false">E40+G40</f>
        <v>163</v>
      </c>
      <c r="J40" s="4" t="n">
        <v>320</v>
      </c>
      <c r="K40" s="4" t="n">
        <v>316</v>
      </c>
      <c r="L40" s="5" t="n">
        <f aca="false">K40-J40</f>
        <v>-4</v>
      </c>
      <c r="M40" s="4" t="n">
        <v>317</v>
      </c>
      <c r="N40" s="5" t="n">
        <f aca="false">M40-H40</f>
        <v>301</v>
      </c>
      <c r="O40" s="4" t="n">
        <v>622</v>
      </c>
      <c r="P40" s="4" t="n">
        <v>320</v>
      </c>
      <c r="Q40" s="6" t="n">
        <f aca="false">IFERROR(K40/J40,0)</f>
        <v>0.9875</v>
      </c>
    </row>
    <row r="41" customFormat="false" ht="15" hidden="false" customHeight="false" outlineLevel="0" collapsed="false">
      <c r="A41" s="2" t="n">
        <v>10302</v>
      </c>
      <c r="B41" s="3" t="s">
        <v>234</v>
      </c>
      <c r="C41" s="3" t="s">
        <v>20</v>
      </c>
      <c r="D41" s="4" t="n">
        <v>0.75</v>
      </c>
      <c r="E41" s="4" t="n">
        <v>118</v>
      </c>
      <c r="F41" s="4" t="n">
        <v>0</v>
      </c>
      <c r="G41" s="4" t="n">
        <v>116</v>
      </c>
      <c r="H41" s="4" t="n">
        <v>30</v>
      </c>
      <c r="I41" s="5" t="n">
        <f aca="false">E41+G41</f>
        <v>234</v>
      </c>
      <c r="J41" s="4" t="n">
        <v>480</v>
      </c>
      <c r="K41" s="4" t="n">
        <v>497</v>
      </c>
      <c r="L41" s="5" t="n">
        <f aca="false">K41-J41</f>
        <v>17</v>
      </c>
      <c r="M41" s="4" t="n">
        <v>494</v>
      </c>
      <c r="N41" s="5" t="n">
        <f aca="false">M41-H41</f>
        <v>464</v>
      </c>
      <c r="O41" s="4" t="n">
        <v>1018</v>
      </c>
      <c r="P41" s="4" t="n">
        <v>480</v>
      </c>
      <c r="Q41" s="6" t="n">
        <f aca="false">IFERROR(K41/J41,0)</f>
        <v>1.03541666666667</v>
      </c>
    </row>
    <row r="42" customFormat="false" ht="15" hidden="false" customHeight="false" outlineLevel="0" collapsed="false">
      <c r="A42" s="2" t="n">
        <v>10303</v>
      </c>
      <c r="B42" s="3" t="s">
        <v>235</v>
      </c>
      <c r="C42" s="3" t="s">
        <v>208</v>
      </c>
      <c r="D42" s="4" t="n">
        <v>1</v>
      </c>
      <c r="E42" s="4" t="n">
        <v>152</v>
      </c>
      <c r="F42" s="4" t="n">
        <v>0</v>
      </c>
      <c r="G42" s="4" t="n">
        <v>163</v>
      </c>
      <c r="H42" s="4" t="n">
        <v>0</v>
      </c>
      <c r="I42" s="5" t="n">
        <f aca="false">E42+G42</f>
        <v>315</v>
      </c>
      <c r="J42" s="4" t="n">
        <v>640</v>
      </c>
      <c r="K42" s="4" t="n">
        <v>637</v>
      </c>
      <c r="L42" s="5" t="n">
        <f aca="false">K42-J42</f>
        <v>-3</v>
      </c>
      <c r="M42" s="4" t="n">
        <v>627</v>
      </c>
      <c r="N42" s="5" t="n">
        <f aca="false">M42-H42</f>
        <v>627</v>
      </c>
      <c r="O42" s="4" t="n">
        <v>1299</v>
      </c>
      <c r="P42" s="4" t="n">
        <v>640</v>
      </c>
      <c r="Q42" s="6" t="n">
        <f aca="false">IFERROR(K42/J42,0)</f>
        <v>0.9953125</v>
      </c>
    </row>
    <row r="43" customFormat="false" ht="15" hidden="false" customHeight="false" outlineLevel="0" collapsed="false">
      <c r="A43" s="2" t="n">
        <v>10304</v>
      </c>
      <c r="B43" s="3" t="s">
        <v>236</v>
      </c>
      <c r="C43" s="3" t="s">
        <v>20</v>
      </c>
      <c r="D43" s="4" t="n">
        <v>1</v>
      </c>
      <c r="E43" s="4" t="n">
        <v>176</v>
      </c>
      <c r="F43" s="4" t="n">
        <v>0</v>
      </c>
      <c r="G43" s="4" t="n">
        <v>176</v>
      </c>
      <c r="H43" s="4" t="n">
        <v>0</v>
      </c>
      <c r="I43" s="5" t="n">
        <f aca="false">E43+G43</f>
        <v>352</v>
      </c>
      <c r="J43" s="4" t="n">
        <v>640</v>
      </c>
      <c r="K43" s="4" t="n">
        <v>682</v>
      </c>
      <c r="L43" s="5" t="n">
        <f aca="false">K43-J43</f>
        <v>42</v>
      </c>
      <c r="M43" s="4" t="n">
        <v>696</v>
      </c>
      <c r="N43" s="5" t="n">
        <f aca="false">M43-H43</f>
        <v>696</v>
      </c>
      <c r="O43" s="4" t="n">
        <v>1340</v>
      </c>
      <c r="P43" s="4" t="n">
        <v>640</v>
      </c>
      <c r="Q43" s="6" t="n">
        <f aca="false">IFERROR(K43/J43,0)</f>
        <v>1.065625</v>
      </c>
    </row>
    <row r="44" customFormat="false" ht="15" hidden="false" customHeight="false" outlineLevel="0" collapsed="false">
      <c r="A44" s="2" t="n">
        <v>10305</v>
      </c>
      <c r="B44" s="3" t="s">
        <v>237</v>
      </c>
      <c r="C44" s="3" t="s">
        <v>193</v>
      </c>
      <c r="D44" s="4" t="n">
        <v>0.8</v>
      </c>
      <c r="E44" s="4" t="n">
        <v>129</v>
      </c>
      <c r="F44" s="4" t="n">
        <v>0</v>
      </c>
      <c r="G44" s="4" t="n">
        <v>128</v>
      </c>
      <c r="H44" s="4" t="n">
        <v>8</v>
      </c>
      <c r="I44" s="5" t="n">
        <f aca="false">E44+G44</f>
        <v>257</v>
      </c>
      <c r="J44" s="4" t="n">
        <v>512</v>
      </c>
      <c r="K44" s="4" t="n">
        <v>546</v>
      </c>
      <c r="L44" s="5" t="n">
        <f aca="false">K44-J44</f>
        <v>34</v>
      </c>
      <c r="M44" s="4" t="n">
        <v>547</v>
      </c>
      <c r="N44" s="5" t="n">
        <f aca="false">M44-H44</f>
        <v>539</v>
      </c>
      <c r="O44" s="4" t="n">
        <v>1124</v>
      </c>
      <c r="P44" s="4" t="n">
        <v>512</v>
      </c>
      <c r="Q44" s="6" t="n">
        <f aca="false">IFERROR(K44/J44,0)</f>
        <v>1.06640625</v>
      </c>
    </row>
    <row r="45" customFormat="false" ht="15" hidden="false" customHeight="false" outlineLevel="0" collapsed="false">
      <c r="A45" s="2" t="n">
        <v>10306</v>
      </c>
      <c r="B45" s="3" t="s">
        <v>238</v>
      </c>
      <c r="C45" s="3" t="s">
        <v>20</v>
      </c>
      <c r="D45" s="4" t="n">
        <v>0.8</v>
      </c>
      <c r="E45" s="4" t="n">
        <v>126</v>
      </c>
      <c r="F45" s="4" t="n">
        <v>4</v>
      </c>
      <c r="G45" s="4" t="n">
        <v>134</v>
      </c>
      <c r="H45" s="4" t="n">
        <v>0</v>
      </c>
      <c r="I45" s="5" t="n">
        <f aca="false">E45+G45</f>
        <v>260</v>
      </c>
      <c r="J45" s="4" t="n">
        <v>512</v>
      </c>
      <c r="K45" s="4" t="n">
        <v>552</v>
      </c>
      <c r="L45" s="5" t="n">
        <f aca="false">K45-J45</f>
        <v>40</v>
      </c>
      <c r="M45" s="4" t="n">
        <v>553</v>
      </c>
      <c r="N45" s="5" t="n">
        <f aca="false">M45-H45</f>
        <v>553</v>
      </c>
      <c r="O45" s="4" t="n">
        <v>1142</v>
      </c>
      <c r="P45" s="4" t="n">
        <v>512</v>
      </c>
      <c r="Q45" s="6" t="n">
        <f aca="false">IFERROR(K45/J45,0)</f>
        <v>1.078125</v>
      </c>
    </row>
    <row r="46" customFormat="false" ht="15" hidden="false" customHeight="false" outlineLevel="0" collapsed="false">
      <c r="A46" s="2" t="n">
        <v>10307</v>
      </c>
      <c r="B46" s="3" t="s">
        <v>239</v>
      </c>
      <c r="C46" s="3" t="s">
        <v>20</v>
      </c>
      <c r="D46" s="4" t="n">
        <v>1</v>
      </c>
      <c r="E46" s="4" t="n">
        <v>123</v>
      </c>
      <c r="F46" s="4" t="n">
        <v>8</v>
      </c>
      <c r="G46" s="4" t="n">
        <v>132</v>
      </c>
      <c r="H46" s="4" t="n">
        <v>24</v>
      </c>
      <c r="I46" s="5" t="n">
        <f aca="false">E46+G46</f>
        <v>255</v>
      </c>
      <c r="J46" s="4" t="n">
        <v>640</v>
      </c>
      <c r="K46" s="4" t="n">
        <v>477</v>
      </c>
      <c r="L46" s="5" t="n">
        <f aca="false">K46-J46</f>
        <v>-163</v>
      </c>
      <c r="M46" s="4" t="n">
        <v>472</v>
      </c>
      <c r="N46" s="5" t="n">
        <f aca="false">M46-H46</f>
        <v>448</v>
      </c>
      <c r="O46" s="4" t="n">
        <v>974</v>
      </c>
      <c r="P46" s="4" t="n">
        <v>640</v>
      </c>
      <c r="Q46" s="6" t="n">
        <f aca="false">IFERROR(K46/J46,0)</f>
        <v>0.7453125</v>
      </c>
    </row>
    <row r="47" customFormat="false" ht="15" hidden="false" customHeight="false" outlineLevel="0" collapsed="false">
      <c r="A47" s="2" t="n">
        <v>10308</v>
      </c>
      <c r="B47" s="3" t="s">
        <v>240</v>
      </c>
      <c r="C47" s="3" t="s">
        <v>20</v>
      </c>
      <c r="D47" s="4" t="n">
        <v>1</v>
      </c>
      <c r="E47" s="4" t="n">
        <v>125</v>
      </c>
      <c r="F47" s="4" t="n">
        <v>0</v>
      </c>
      <c r="G47" s="4" t="n">
        <v>131</v>
      </c>
      <c r="H47" s="4" t="n">
        <v>0</v>
      </c>
      <c r="I47" s="5" t="n">
        <f aca="false">E47+G47</f>
        <v>256</v>
      </c>
      <c r="J47" s="4" t="n">
        <v>640</v>
      </c>
      <c r="K47" s="4" t="n">
        <v>522</v>
      </c>
      <c r="L47" s="5" t="n">
        <f aca="false">K47-J47</f>
        <v>-118</v>
      </c>
      <c r="M47" s="4" t="n">
        <v>535</v>
      </c>
      <c r="N47" s="5" t="n">
        <f aca="false">M47-H47</f>
        <v>535</v>
      </c>
      <c r="O47" s="4" t="n">
        <v>1019</v>
      </c>
      <c r="P47" s="4" t="n">
        <v>640</v>
      </c>
      <c r="Q47" s="6" t="n">
        <f aca="false">IFERROR(K47/J47,0)</f>
        <v>0.815625</v>
      </c>
    </row>
    <row r="48" customFormat="false" ht="15" hidden="false" customHeight="false" outlineLevel="0" collapsed="false">
      <c r="A48" s="2" t="n">
        <v>10309</v>
      </c>
      <c r="B48" s="3" t="s">
        <v>241</v>
      </c>
      <c r="C48" s="3" t="s">
        <v>31</v>
      </c>
      <c r="D48" s="4" t="n">
        <v>0.8</v>
      </c>
      <c r="E48" s="4" t="n">
        <v>137</v>
      </c>
      <c r="F48" s="4" t="n">
        <v>8</v>
      </c>
      <c r="G48" s="4" t="n">
        <v>127</v>
      </c>
      <c r="H48" s="4" t="n">
        <v>0</v>
      </c>
      <c r="I48" s="5" t="n">
        <f aca="false">E48+G48</f>
        <v>264</v>
      </c>
      <c r="J48" s="4" t="n">
        <v>512</v>
      </c>
      <c r="K48" s="4" t="n">
        <v>506</v>
      </c>
      <c r="L48" s="5" t="n">
        <f aca="false">K48-J48</f>
        <v>-6</v>
      </c>
      <c r="M48" s="4" t="n">
        <v>498</v>
      </c>
      <c r="N48" s="5" t="n">
        <f aca="false">M48-H48</f>
        <v>498</v>
      </c>
      <c r="O48" s="4" t="n">
        <v>1007</v>
      </c>
      <c r="P48" s="4" t="n">
        <v>512</v>
      </c>
      <c r="Q48" s="6" t="n">
        <f aca="false">IFERROR(K48/J48,0)</f>
        <v>0.98828125</v>
      </c>
    </row>
    <row r="49" customFormat="false" ht="15" hidden="false" customHeight="false" outlineLevel="0" collapsed="false">
      <c r="A49" s="2" t="n">
        <v>10310</v>
      </c>
      <c r="B49" s="3" t="s">
        <v>242</v>
      </c>
      <c r="C49" s="3" t="s">
        <v>20</v>
      </c>
      <c r="D49" s="4" t="n">
        <v>0.5</v>
      </c>
      <c r="E49" s="4" t="n">
        <v>80</v>
      </c>
      <c r="F49" s="4" t="n">
        <v>0</v>
      </c>
      <c r="G49" s="4" t="n">
        <v>78</v>
      </c>
      <c r="H49" s="4" t="n">
        <v>0</v>
      </c>
      <c r="I49" s="5" t="n">
        <f aca="false">E49+G49</f>
        <v>158</v>
      </c>
      <c r="J49" s="4" t="n">
        <v>320</v>
      </c>
      <c r="K49" s="4" t="n">
        <v>322</v>
      </c>
      <c r="L49" s="5" t="n">
        <f aca="false">K49-J49</f>
        <v>2</v>
      </c>
      <c r="M49" s="4" t="n">
        <v>317</v>
      </c>
      <c r="N49" s="5" t="n">
        <f aca="false">M49-H49</f>
        <v>317</v>
      </c>
      <c r="O49" s="4" t="n">
        <v>632</v>
      </c>
      <c r="P49" s="4" t="n">
        <v>320</v>
      </c>
      <c r="Q49" s="6" t="n">
        <f aca="false">IFERROR(K49/J49,0)</f>
        <v>1.00625</v>
      </c>
    </row>
    <row r="50" customFormat="false" ht="15" hidden="false" customHeight="false" outlineLevel="0" collapsed="false">
      <c r="A50" s="2" t="n">
        <v>10311</v>
      </c>
      <c r="B50" s="3" t="s">
        <v>243</v>
      </c>
      <c r="C50" s="3" t="s">
        <v>198</v>
      </c>
      <c r="D50" s="4" t="n">
        <v>0.8</v>
      </c>
      <c r="E50" s="4" t="n">
        <v>120</v>
      </c>
      <c r="F50" s="4" t="n">
        <v>4</v>
      </c>
      <c r="G50" s="4" t="n">
        <v>117</v>
      </c>
      <c r="H50" s="4" t="n">
        <v>24</v>
      </c>
      <c r="I50" s="5" t="n">
        <f aca="false">E50+G50</f>
        <v>237</v>
      </c>
      <c r="J50" s="4" t="n">
        <v>512</v>
      </c>
      <c r="K50" s="4" t="n">
        <v>510</v>
      </c>
      <c r="L50" s="5" t="n">
        <f aca="false">K50-J50</f>
        <v>-2</v>
      </c>
      <c r="M50" s="4" t="n">
        <v>501</v>
      </c>
      <c r="N50" s="5" t="n">
        <f aca="false">M50-H50</f>
        <v>477</v>
      </c>
      <c r="O50" s="4" t="n">
        <v>1001</v>
      </c>
      <c r="P50" s="4" t="n">
        <v>512</v>
      </c>
      <c r="Q50" s="6" t="n">
        <f aca="false">IFERROR(K50/J50,0)</f>
        <v>0.99609375</v>
      </c>
    </row>
    <row r="51" customFormat="false" ht="15" hidden="false" customHeight="false" outlineLevel="0" collapsed="false">
      <c r="A51" s="2" t="n">
        <v>10312</v>
      </c>
      <c r="B51" s="3" t="s">
        <v>178</v>
      </c>
      <c r="C51" s="3" t="s">
        <v>22</v>
      </c>
      <c r="D51" s="4" t="n">
        <v>0.6</v>
      </c>
      <c r="E51" s="4" t="n">
        <v>88</v>
      </c>
      <c r="F51" s="4" t="n">
        <v>4</v>
      </c>
      <c r="G51" s="4" t="n">
        <v>85</v>
      </c>
      <c r="H51" s="4" t="n">
        <v>0</v>
      </c>
      <c r="I51" s="5" t="n">
        <f aca="false">E51+G51</f>
        <v>173</v>
      </c>
      <c r="J51" s="4" t="n">
        <v>384</v>
      </c>
      <c r="K51" s="4" t="n">
        <v>368</v>
      </c>
      <c r="L51" s="5" t="n">
        <f aca="false">K51-J51</f>
        <v>-16</v>
      </c>
      <c r="M51" s="4" t="n">
        <v>378</v>
      </c>
      <c r="N51" s="5" t="n">
        <f aca="false">M51-H51</f>
        <v>378</v>
      </c>
      <c r="O51" s="4" t="n">
        <v>746</v>
      </c>
      <c r="P51" s="4" t="n">
        <v>384</v>
      </c>
      <c r="Q51" s="6" t="n">
        <f aca="false">IFERROR(K51/J51,0)</f>
        <v>0.958333333333333</v>
      </c>
    </row>
    <row r="52" customFormat="false" ht="15" hidden="false" customHeight="false" outlineLevel="0" collapsed="false">
      <c r="A52" s="2" t="n">
        <v>10313</v>
      </c>
      <c r="B52" s="3" t="s">
        <v>244</v>
      </c>
      <c r="C52" s="3" t="s">
        <v>208</v>
      </c>
      <c r="D52" s="4" t="n">
        <v>1</v>
      </c>
      <c r="E52" s="4" t="n">
        <v>156</v>
      </c>
      <c r="F52" s="4" t="n">
        <v>0</v>
      </c>
      <c r="G52" s="4" t="n">
        <v>147</v>
      </c>
      <c r="H52" s="4" t="n">
        <v>0</v>
      </c>
      <c r="I52" s="5" t="n">
        <f aca="false">E52+G52</f>
        <v>303</v>
      </c>
      <c r="J52" s="4" t="n">
        <v>640</v>
      </c>
      <c r="K52" s="4" t="n">
        <v>646</v>
      </c>
      <c r="L52" s="5" t="n">
        <f aca="false">K52-J52</f>
        <v>6</v>
      </c>
      <c r="M52" s="4" t="n">
        <v>650</v>
      </c>
      <c r="N52" s="5" t="n">
        <f aca="false">M52-H52</f>
        <v>650</v>
      </c>
      <c r="O52" s="4" t="n">
        <v>1285</v>
      </c>
      <c r="P52" s="4" t="n">
        <v>640</v>
      </c>
      <c r="Q52" s="6" t="n">
        <f aca="false">IFERROR(K52/J52,0)</f>
        <v>1.009375</v>
      </c>
    </row>
    <row r="53" customFormat="false" ht="15" hidden="false" customHeight="false" outlineLevel="0" collapsed="false">
      <c r="A53" s="2" t="n">
        <v>10314</v>
      </c>
      <c r="B53" s="3" t="s">
        <v>245</v>
      </c>
      <c r="C53" s="3" t="s">
        <v>208</v>
      </c>
      <c r="D53" s="4" t="n">
        <v>0.75</v>
      </c>
      <c r="E53" s="4" t="n">
        <v>111</v>
      </c>
      <c r="F53" s="4" t="n">
        <v>0</v>
      </c>
      <c r="G53" s="4" t="n">
        <v>115</v>
      </c>
      <c r="H53" s="4" t="n">
        <v>8</v>
      </c>
      <c r="I53" s="5" t="n">
        <f aca="false">E53+G53</f>
        <v>226</v>
      </c>
      <c r="J53" s="4" t="n">
        <v>480</v>
      </c>
      <c r="K53" s="4" t="n">
        <v>462</v>
      </c>
      <c r="L53" s="5" t="n">
        <f aca="false">K53-J53</f>
        <v>-18</v>
      </c>
      <c r="M53" s="4" t="n">
        <v>469</v>
      </c>
      <c r="N53" s="5" t="n">
        <f aca="false">M53-H53</f>
        <v>461</v>
      </c>
      <c r="O53" s="4" t="n">
        <v>917</v>
      </c>
      <c r="P53" s="4" t="n">
        <v>480</v>
      </c>
      <c r="Q53" s="6" t="n">
        <f aca="false">IFERROR(K53/J53,0)</f>
        <v>0.9625</v>
      </c>
    </row>
    <row r="54" customFormat="false" ht="15" hidden="false" customHeight="false" outlineLevel="0" collapsed="false">
      <c r="A54" s="2" t="n">
        <v>10315</v>
      </c>
      <c r="B54" s="3" t="s">
        <v>246</v>
      </c>
      <c r="C54" s="3" t="s">
        <v>20</v>
      </c>
      <c r="D54" s="4" t="n">
        <v>1</v>
      </c>
      <c r="E54" s="4" t="n">
        <v>131</v>
      </c>
      <c r="F54" s="4" t="n">
        <v>0</v>
      </c>
      <c r="G54" s="4" t="n">
        <v>123</v>
      </c>
      <c r="H54" s="4" t="n">
        <v>30</v>
      </c>
      <c r="I54" s="5" t="n">
        <f aca="false">E54+G54</f>
        <v>254</v>
      </c>
      <c r="J54" s="4" t="n">
        <v>640</v>
      </c>
      <c r="K54" s="4" t="n">
        <v>476</v>
      </c>
      <c r="L54" s="5" t="n">
        <f aca="false">K54-J54</f>
        <v>-164</v>
      </c>
      <c r="M54" s="4" t="n">
        <v>484</v>
      </c>
      <c r="N54" s="5" t="n">
        <f aca="false">M54-H54</f>
        <v>454</v>
      </c>
      <c r="O54" s="4" t="n">
        <v>958</v>
      </c>
      <c r="P54" s="4" t="n">
        <v>640</v>
      </c>
      <c r="Q54" s="6" t="n">
        <f aca="false">IFERROR(K54/J54,0)</f>
        <v>0.74375</v>
      </c>
    </row>
    <row r="55" customFormat="false" ht="15" hidden="false" customHeight="false" outlineLevel="0" collapsed="false">
      <c r="A55" s="2" t="n">
        <v>10316</v>
      </c>
      <c r="B55" s="3" t="s">
        <v>247</v>
      </c>
      <c r="C55" s="3" t="s">
        <v>198</v>
      </c>
      <c r="D55" s="4" t="n">
        <v>0.8</v>
      </c>
      <c r="E55" s="4" t="n">
        <v>123</v>
      </c>
      <c r="F55" s="4" t="n">
        <v>8</v>
      </c>
      <c r="G55" s="4" t="n">
        <v>130</v>
      </c>
      <c r="H55" s="4" t="n">
        <v>40</v>
      </c>
      <c r="I55" s="5" t="n">
        <f aca="false">E55+G55</f>
        <v>253</v>
      </c>
      <c r="J55" s="4" t="n">
        <v>512</v>
      </c>
      <c r="K55" s="4" t="n">
        <v>476</v>
      </c>
      <c r="L55" s="5" t="n">
        <f aca="false">K55-J55</f>
        <v>-36</v>
      </c>
      <c r="M55" s="4" t="n">
        <v>489</v>
      </c>
      <c r="N55" s="5" t="n">
        <f aca="false">M55-H55</f>
        <v>449</v>
      </c>
      <c r="O55" s="4" t="n">
        <v>933</v>
      </c>
      <c r="P55" s="4" t="n">
        <v>512</v>
      </c>
      <c r="Q55" s="6" t="n">
        <f aca="false">IFERROR(K55/J55,0)</f>
        <v>0.9296875</v>
      </c>
    </row>
    <row r="56" customFormat="false" ht="15" hidden="false" customHeight="false" outlineLevel="0" collapsed="false">
      <c r="A56" s="2" t="n">
        <v>10317</v>
      </c>
      <c r="B56" s="3" t="s">
        <v>248</v>
      </c>
      <c r="C56" s="3" t="s">
        <v>22</v>
      </c>
      <c r="D56" s="4" t="n">
        <v>1</v>
      </c>
      <c r="E56" s="4" t="n">
        <v>121</v>
      </c>
      <c r="F56" s="4" t="n">
        <v>0</v>
      </c>
      <c r="G56" s="4" t="n">
        <v>124</v>
      </c>
      <c r="H56" s="4" t="n">
        <v>0</v>
      </c>
      <c r="I56" s="5" t="n">
        <f aca="false">E56+G56</f>
        <v>245</v>
      </c>
      <c r="J56" s="4" t="n">
        <v>640</v>
      </c>
      <c r="K56" s="4" t="n">
        <v>486</v>
      </c>
      <c r="L56" s="5" t="n">
        <f aca="false">K56-J56</f>
        <v>-154</v>
      </c>
      <c r="M56" s="4" t="n">
        <v>491</v>
      </c>
      <c r="N56" s="5" t="n">
        <f aca="false">M56-H56</f>
        <v>491</v>
      </c>
      <c r="O56" s="4" t="n">
        <v>984</v>
      </c>
      <c r="P56" s="4" t="n">
        <v>640</v>
      </c>
      <c r="Q56" s="6" t="n">
        <f aca="false">IFERROR(K56/J56,0)</f>
        <v>0.759375</v>
      </c>
    </row>
    <row r="57" customFormat="false" ht="15" hidden="false" customHeight="false" outlineLevel="0" collapsed="false">
      <c r="A57" s="2" t="n">
        <v>10318</v>
      </c>
      <c r="B57" s="3" t="s">
        <v>249</v>
      </c>
      <c r="C57" s="3" t="s">
        <v>193</v>
      </c>
      <c r="D57" s="4" t="n">
        <v>0.5</v>
      </c>
      <c r="E57" s="4" t="n">
        <v>72</v>
      </c>
      <c r="F57" s="4" t="n">
        <v>8</v>
      </c>
      <c r="G57" s="4" t="n">
        <v>74</v>
      </c>
      <c r="H57" s="4" t="n">
        <v>24</v>
      </c>
      <c r="I57" s="5" t="n">
        <f aca="false">E57+G57</f>
        <v>146</v>
      </c>
      <c r="J57" s="4" t="n">
        <v>320</v>
      </c>
      <c r="K57" s="4" t="n">
        <v>304</v>
      </c>
      <c r="L57" s="5" t="n">
        <f aca="false">K57-J57</f>
        <v>-16</v>
      </c>
      <c r="M57" s="4" t="n">
        <v>312</v>
      </c>
      <c r="N57" s="5" t="n">
        <f aca="false">M57-H57</f>
        <v>288</v>
      </c>
      <c r="O57" s="4" t="n">
        <v>593</v>
      </c>
      <c r="P57" s="4" t="n">
        <v>320</v>
      </c>
      <c r="Q57" s="6" t="n">
        <f aca="false">IFERROR(K57/J57,0)</f>
        <v>0.95</v>
      </c>
    </row>
    <row r="58" customFormat="false" ht="15" hidden="false" customHeight="false" outlineLevel="0" collapsed="false">
      <c r="A58" s="2" t="n">
        <v>10319</v>
      </c>
      <c r="B58" s="3" t="s">
        <v>250</v>
      </c>
      <c r="C58" s="3" t="s">
        <v>208</v>
      </c>
      <c r="D58" s="4" t="n">
        <v>1</v>
      </c>
      <c r="E58" s="4" t="n">
        <v>152</v>
      </c>
      <c r="F58" s="4" t="n">
        <v>4</v>
      </c>
      <c r="G58" s="4" t="n">
        <v>140</v>
      </c>
      <c r="H58" s="4" t="n">
        <v>0</v>
      </c>
      <c r="I58" s="5" t="n">
        <f aca="false">E58+G58</f>
        <v>292</v>
      </c>
      <c r="J58" s="4" t="n">
        <v>640</v>
      </c>
      <c r="K58" s="4" t="n">
        <v>629</v>
      </c>
      <c r="L58" s="5" t="n">
        <f aca="false">K58-J58</f>
        <v>-11</v>
      </c>
      <c r="M58" s="4" t="n">
        <v>645</v>
      </c>
      <c r="N58" s="5" t="n">
        <f aca="false">M58-H58</f>
        <v>645</v>
      </c>
      <c r="O58" s="4" t="n">
        <v>1311</v>
      </c>
      <c r="P58" s="4" t="n">
        <v>640</v>
      </c>
      <c r="Q58" s="6" t="n">
        <f aca="false">IFERROR(K58/J58,0)</f>
        <v>0.9828125</v>
      </c>
    </row>
    <row r="59" customFormat="false" ht="15" hidden="false" customHeight="false" outlineLevel="0" collapsed="false">
      <c r="A59" s="2" t="n">
        <v>10320</v>
      </c>
      <c r="B59" s="3" t="s">
        <v>251</v>
      </c>
      <c r="C59" s="3" t="s">
        <v>20</v>
      </c>
      <c r="D59" s="4" t="n">
        <v>0.8</v>
      </c>
      <c r="E59" s="4" t="n">
        <v>131</v>
      </c>
      <c r="F59" s="4" t="n">
        <v>0</v>
      </c>
      <c r="G59" s="4" t="n">
        <v>133</v>
      </c>
      <c r="H59" s="4" t="n">
        <v>0</v>
      </c>
      <c r="I59" s="5" t="n">
        <f aca="false">E59+G59</f>
        <v>264</v>
      </c>
      <c r="J59" s="4" t="n">
        <v>512</v>
      </c>
      <c r="K59" s="4" t="n">
        <v>517</v>
      </c>
      <c r="L59" s="5" t="n">
        <f aca="false">K59-J59</f>
        <v>5</v>
      </c>
      <c r="M59" s="4" t="n">
        <v>524</v>
      </c>
      <c r="N59" s="5" t="n">
        <f aca="false">M59-H59</f>
        <v>524</v>
      </c>
      <c r="O59" s="4" t="n">
        <v>1018</v>
      </c>
      <c r="P59" s="4" t="n">
        <v>512</v>
      </c>
      <c r="Q59" s="6" t="n">
        <f aca="false">IFERROR(K59/J59,0)</f>
        <v>1.009765625</v>
      </c>
    </row>
    <row r="60" customFormat="false" ht="15" hidden="false" customHeight="false" outlineLevel="0" collapsed="false">
      <c r="A60" s="2" t="n">
        <v>10321</v>
      </c>
      <c r="B60" s="3" t="s">
        <v>252</v>
      </c>
      <c r="C60" s="3" t="s">
        <v>198</v>
      </c>
      <c r="D60" s="4" t="n">
        <v>0.8</v>
      </c>
      <c r="E60" s="4" t="n">
        <v>96</v>
      </c>
      <c r="F60" s="4" t="n">
        <v>8</v>
      </c>
      <c r="G60" s="4" t="n">
        <v>101</v>
      </c>
      <c r="H60" s="4" t="n">
        <v>8</v>
      </c>
      <c r="I60" s="5" t="n">
        <f aca="false">E60+G60</f>
        <v>197</v>
      </c>
      <c r="J60" s="4" t="n">
        <v>512</v>
      </c>
      <c r="K60" s="4" t="n">
        <v>423</v>
      </c>
      <c r="L60" s="5" t="n">
        <f aca="false">K60-J60</f>
        <v>-89</v>
      </c>
      <c r="M60" s="4" t="n">
        <v>418</v>
      </c>
      <c r="N60" s="5" t="n">
        <f aca="false">M60-H60</f>
        <v>410</v>
      </c>
      <c r="O60" s="4" t="n">
        <v>835</v>
      </c>
      <c r="P60" s="4" t="n">
        <v>512</v>
      </c>
      <c r="Q60" s="6" t="n">
        <f aca="false">IFERROR(K60/J60,0)</f>
        <v>0.826171875</v>
      </c>
    </row>
    <row r="61" customFormat="false" ht="15" hidden="false" customHeight="false" outlineLevel="0" collapsed="false">
      <c r="A61" s="2" t="n">
        <v>10322</v>
      </c>
      <c r="B61" s="3" t="s">
        <v>253</v>
      </c>
      <c r="C61" s="3" t="s">
        <v>31</v>
      </c>
      <c r="D61" s="4" t="n">
        <v>1</v>
      </c>
      <c r="E61" s="4" t="n">
        <v>155</v>
      </c>
      <c r="F61" s="4" t="n">
        <v>0</v>
      </c>
      <c r="G61" s="4" t="n">
        <v>164</v>
      </c>
      <c r="H61" s="4" t="n">
        <v>8</v>
      </c>
      <c r="I61" s="5" t="n">
        <f aca="false">E61+G61</f>
        <v>319</v>
      </c>
      <c r="J61" s="4" t="n">
        <v>640</v>
      </c>
      <c r="K61" s="4" t="n">
        <v>663</v>
      </c>
      <c r="L61" s="5" t="n">
        <f aca="false">K61-J61</f>
        <v>23</v>
      </c>
      <c r="M61" s="4" t="n">
        <v>677</v>
      </c>
      <c r="N61" s="5" t="n">
        <f aca="false">M61-H61</f>
        <v>669</v>
      </c>
      <c r="O61" s="4" t="n">
        <v>1362</v>
      </c>
      <c r="P61" s="4" t="n">
        <v>640</v>
      </c>
      <c r="Q61" s="6" t="n">
        <f aca="false">IFERROR(K61/J61,0)</f>
        <v>1.0359375</v>
      </c>
    </row>
    <row r="62" customFormat="false" ht="15" hidden="false" customHeight="false" outlineLevel="0" collapsed="false">
      <c r="A62" s="2" t="n">
        <v>10323</v>
      </c>
      <c r="B62" s="3" t="s">
        <v>254</v>
      </c>
      <c r="C62" s="3" t="s">
        <v>193</v>
      </c>
      <c r="D62" s="4" t="n">
        <v>1</v>
      </c>
      <c r="E62" s="4" t="n">
        <v>153</v>
      </c>
      <c r="F62" s="4" t="n">
        <v>16</v>
      </c>
      <c r="G62" s="4" t="n">
        <v>160</v>
      </c>
      <c r="H62" s="4" t="n">
        <v>0</v>
      </c>
      <c r="I62" s="5" t="n">
        <f aca="false">E62+G62</f>
        <v>313</v>
      </c>
      <c r="J62" s="4" t="n">
        <v>640</v>
      </c>
      <c r="K62" s="4" t="n">
        <v>608</v>
      </c>
      <c r="L62" s="5" t="n">
        <f aca="false">K62-J62</f>
        <v>-32</v>
      </c>
      <c r="M62" s="4" t="n">
        <v>608</v>
      </c>
      <c r="N62" s="5" t="n">
        <f aca="false">M62-H62</f>
        <v>608</v>
      </c>
      <c r="O62" s="4" t="n">
        <v>1227</v>
      </c>
      <c r="P62" s="4" t="n">
        <v>640</v>
      </c>
      <c r="Q62" s="6" t="n">
        <f aca="false">IFERROR(K62/J62,0)</f>
        <v>0.95</v>
      </c>
    </row>
    <row r="63" customFormat="false" ht="15" hidden="false" customHeight="false" outlineLevel="0" collapsed="false">
      <c r="A63" s="2" t="n">
        <v>10324</v>
      </c>
      <c r="B63" s="3" t="s">
        <v>255</v>
      </c>
      <c r="C63" s="3" t="s">
        <v>193</v>
      </c>
      <c r="D63" s="4" t="n">
        <v>1</v>
      </c>
      <c r="E63" s="4" t="n">
        <v>137</v>
      </c>
      <c r="F63" s="4" t="n">
        <v>0</v>
      </c>
      <c r="G63" s="4" t="n">
        <v>127</v>
      </c>
      <c r="H63" s="4" t="n">
        <v>24</v>
      </c>
      <c r="I63" s="5" t="n">
        <f aca="false">E63+G63</f>
        <v>264</v>
      </c>
      <c r="J63" s="4" t="n">
        <v>640</v>
      </c>
      <c r="K63" s="4" t="n">
        <v>501</v>
      </c>
      <c r="L63" s="5" t="n">
        <f aca="false">K63-J63</f>
        <v>-139</v>
      </c>
      <c r="M63" s="4" t="n">
        <v>500</v>
      </c>
      <c r="N63" s="5" t="n">
        <f aca="false">M63-H63</f>
        <v>476</v>
      </c>
      <c r="O63" s="4" t="n">
        <v>1024</v>
      </c>
      <c r="P63" s="4" t="n">
        <v>640</v>
      </c>
      <c r="Q63" s="6" t="n">
        <f aca="false">IFERROR(K63/J63,0)</f>
        <v>0.7828125</v>
      </c>
    </row>
    <row r="64" customFormat="false" ht="15" hidden="false" customHeight="false" outlineLevel="0" collapsed="false">
      <c r="A64" s="2" t="n">
        <v>10325</v>
      </c>
      <c r="B64" s="3" t="s">
        <v>256</v>
      </c>
      <c r="C64" s="3" t="s">
        <v>31</v>
      </c>
      <c r="D64" s="4" t="n">
        <v>0.6</v>
      </c>
      <c r="E64" s="4" t="n">
        <v>76</v>
      </c>
      <c r="F64" s="4" t="n">
        <v>0</v>
      </c>
      <c r="G64" s="4" t="n">
        <v>77</v>
      </c>
      <c r="H64" s="4" t="n">
        <v>30</v>
      </c>
      <c r="I64" s="5" t="n">
        <f aca="false">E64+G64</f>
        <v>153</v>
      </c>
      <c r="J64" s="4" t="n">
        <v>384</v>
      </c>
      <c r="K64" s="4" t="n">
        <v>287</v>
      </c>
      <c r="L64" s="5" t="n">
        <f aca="false">K64-J64</f>
        <v>-97</v>
      </c>
      <c r="M64" s="4" t="n">
        <v>293</v>
      </c>
      <c r="N64" s="5" t="n">
        <f aca="false">M64-H64</f>
        <v>263</v>
      </c>
      <c r="O64" s="4" t="n">
        <v>574</v>
      </c>
      <c r="P64" s="4" t="n">
        <v>384</v>
      </c>
      <c r="Q64" s="6" t="n">
        <f aca="false">IFERROR(K64/J64,0)</f>
        <v>0.747395833333333</v>
      </c>
    </row>
    <row r="65" customFormat="false" ht="15" hidden="false" customHeight="false" outlineLevel="0" collapsed="false">
      <c r="A65" s="2" t="n">
        <v>10326</v>
      </c>
      <c r="B65" s="3" t="s">
        <v>257</v>
      </c>
      <c r="C65" s="3" t="s">
        <v>20</v>
      </c>
      <c r="D65" s="4" t="n">
        <v>1</v>
      </c>
      <c r="E65" s="4" t="n">
        <v>152</v>
      </c>
      <c r="F65" s="4" t="n">
        <v>0</v>
      </c>
      <c r="G65" s="4" t="n">
        <v>153</v>
      </c>
      <c r="H65" s="4" t="n">
        <v>30</v>
      </c>
      <c r="I65" s="5" t="n">
        <f aca="false">E65+G65</f>
        <v>305</v>
      </c>
      <c r="J65" s="4" t="n">
        <v>640</v>
      </c>
      <c r="K65" s="4" t="n">
        <v>622</v>
      </c>
      <c r="L65" s="5" t="n">
        <f aca="false">K65-J65</f>
        <v>-18</v>
      </c>
      <c r="M65" s="4" t="n">
        <v>618</v>
      </c>
      <c r="N65" s="5" t="n">
        <f aca="false">M65-H65</f>
        <v>588</v>
      </c>
      <c r="O65" s="4" t="n">
        <v>1255</v>
      </c>
      <c r="P65" s="4" t="n">
        <v>640</v>
      </c>
      <c r="Q65" s="6" t="n">
        <f aca="false">IFERROR(K65/J65,0)</f>
        <v>0.971875</v>
      </c>
    </row>
    <row r="66" customFormat="false" ht="15" hidden="false" customHeight="false" outlineLevel="0" collapsed="false">
      <c r="A66" s="2" t="n">
        <v>10327</v>
      </c>
      <c r="B66" s="3" t="s">
        <v>258</v>
      </c>
      <c r="C66" s="3" t="s">
        <v>20</v>
      </c>
      <c r="D66" s="4" t="n">
        <v>0.6</v>
      </c>
      <c r="E66" s="4" t="n">
        <v>103</v>
      </c>
      <c r="F66" s="4" t="n">
        <v>0</v>
      </c>
      <c r="G66" s="4" t="n">
        <v>110</v>
      </c>
      <c r="H66" s="4" t="n">
        <v>0</v>
      </c>
      <c r="I66" s="5" t="n">
        <f aca="false">E66+G66</f>
        <v>213</v>
      </c>
      <c r="J66" s="4" t="n">
        <v>384</v>
      </c>
      <c r="K66" s="4" t="n">
        <v>428</v>
      </c>
      <c r="L66" s="5" t="n">
        <f aca="false">K66-J66</f>
        <v>44</v>
      </c>
      <c r="M66" s="4" t="n">
        <v>433</v>
      </c>
      <c r="N66" s="5" t="n">
        <f aca="false">M66-H66</f>
        <v>433</v>
      </c>
      <c r="O66" s="4" t="n">
        <v>886</v>
      </c>
      <c r="P66" s="4" t="n">
        <v>384</v>
      </c>
      <c r="Q66" s="6" t="n">
        <f aca="false">IFERROR(K66/J66,0)</f>
        <v>1.11458333333333</v>
      </c>
    </row>
    <row r="67" customFormat="false" ht="15" hidden="false" customHeight="false" outlineLevel="0" collapsed="false">
      <c r="A67" s="2" t="n">
        <v>10328</v>
      </c>
      <c r="B67" s="3" t="s">
        <v>259</v>
      </c>
      <c r="C67" s="3" t="s">
        <v>20</v>
      </c>
      <c r="D67" s="4" t="n">
        <v>1</v>
      </c>
      <c r="E67" s="4" t="n">
        <v>167</v>
      </c>
      <c r="F67" s="4" t="n">
        <v>0</v>
      </c>
      <c r="G67" s="4" t="n">
        <v>157</v>
      </c>
      <c r="H67" s="4" t="n">
        <v>0</v>
      </c>
      <c r="I67" s="5" t="n">
        <f aca="false">E67+G67</f>
        <v>324</v>
      </c>
      <c r="J67" s="4" t="n">
        <v>640</v>
      </c>
      <c r="K67" s="4" t="n">
        <v>649</v>
      </c>
      <c r="L67" s="5" t="n">
        <f aca="false">K67-J67</f>
        <v>9</v>
      </c>
      <c r="M67" s="4" t="n">
        <v>642</v>
      </c>
      <c r="N67" s="5" t="n">
        <f aca="false">M67-H67</f>
        <v>642</v>
      </c>
      <c r="O67" s="4" t="n">
        <v>1297</v>
      </c>
      <c r="P67" s="4" t="n">
        <v>640</v>
      </c>
      <c r="Q67" s="6" t="n">
        <f aca="false">IFERROR(K67/J67,0)</f>
        <v>1.0140625</v>
      </c>
    </row>
    <row r="68" customFormat="false" ht="15" hidden="false" customHeight="false" outlineLevel="0" collapsed="false">
      <c r="A68" s="2" t="n">
        <v>10329</v>
      </c>
      <c r="B68" s="3" t="s">
        <v>260</v>
      </c>
      <c r="C68" s="3" t="s">
        <v>193</v>
      </c>
      <c r="D68" s="4" t="n">
        <v>1</v>
      </c>
      <c r="E68" s="4" t="n">
        <v>186</v>
      </c>
      <c r="F68" s="4" t="n">
        <v>0</v>
      </c>
      <c r="G68" s="4" t="n">
        <v>173</v>
      </c>
      <c r="H68" s="4" t="n">
        <v>8</v>
      </c>
      <c r="I68" s="5" t="n">
        <f aca="false">E68+G68</f>
        <v>359</v>
      </c>
      <c r="J68" s="4" t="n">
        <v>640</v>
      </c>
      <c r="K68" s="4" t="n">
        <v>665</v>
      </c>
      <c r="L68" s="5" t="n">
        <f aca="false">K68-J68</f>
        <v>25</v>
      </c>
      <c r="M68" s="4" t="n">
        <v>661</v>
      </c>
      <c r="N68" s="5" t="n">
        <f aca="false">M68-H68</f>
        <v>653</v>
      </c>
      <c r="O68" s="4" t="n">
        <v>1378</v>
      </c>
      <c r="P68" s="4" t="n">
        <v>640</v>
      </c>
      <c r="Q68" s="6" t="n">
        <f aca="false">IFERROR(K68/J68,0)</f>
        <v>1.0390625</v>
      </c>
    </row>
    <row r="69" customFormat="false" ht="15" hidden="false" customHeight="false" outlineLevel="0" collapsed="false">
      <c r="A69" s="2" t="n">
        <v>10330</v>
      </c>
      <c r="B69" s="3" t="s">
        <v>261</v>
      </c>
      <c r="C69" s="3" t="s">
        <v>208</v>
      </c>
      <c r="D69" s="4" t="n">
        <v>1</v>
      </c>
      <c r="E69" s="4" t="n">
        <v>185</v>
      </c>
      <c r="F69" s="4" t="n">
        <v>0</v>
      </c>
      <c r="G69" s="4" t="n">
        <v>195</v>
      </c>
      <c r="H69" s="4" t="n">
        <v>0</v>
      </c>
      <c r="I69" s="5" t="n">
        <f aca="false">E69+G69</f>
        <v>380</v>
      </c>
      <c r="J69" s="4" t="n">
        <v>640</v>
      </c>
      <c r="K69" s="4" t="n">
        <v>704</v>
      </c>
      <c r="L69" s="5" t="n">
        <f aca="false">K69-J69</f>
        <v>64</v>
      </c>
      <c r="M69" s="4" t="n">
        <v>716</v>
      </c>
      <c r="N69" s="5" t="n">
        <f aca="false">M69-H69</f>
        <v>716</v>
      </c>
      <c r="O69" s="4" t="n">
        <v>1411</v>
      </c>
      <c r="P69" s="4" t="n">
        <v>640</v>
      </c>
      <c r="Q69" s="6" t="n">
        <f aca="false">IFERROR(K69/J69,0)</f>
        <v>1.1</v>
      </c>
    </row>
    <row r="70" customFormat="false" ht="15" hidden="false" customHeight="false" outlineLevel="0" collapsed="false">
      <c r="A70" s="2" t="n">
        <v>10331</v>
      </c>
      <c r="B70" s="3" t="s">
        <v>262</v>
      </c>
      <c r="C70" s="3" t="s">
        <v>20</v>
      </c>
      <c r="D70" s="4" t="n">
        <v>0.8</v>
      </c>
      <c r="E70" s="4" t="n">
        <v>124</v>
      </c>
      <c r="F70" s="4" t="n">
        <v>0</v>
      </c>
      <c r="G70" s="4" t="n">
        <v>116</v>
      </c>
      <c r="H70" s="4" t="n">
        <v>0</v>
      </c>
      <c r="I70" s="5" t="n">
        <f aca="false">E70+G70</f>
        <v>240</v>
      </c>
      <c r="J70" s="4" t="n">
        <v>512</v>
      </c>
      <c r="K70" s="4" t="n">
        <v>446</v>
      </c>
      <c r="L70" s="5" t="n">
        <f aca="false">K70-J70</f>
        <v>-66</v>
      </c>
      <c r="M70" s="4" t="n">
        <v>448</v>
      </c>
      <c r="N70" s="5" t="n">
        <f aca="false">M70-H70</f>
        <v>448</v>
      </c>
      <c r="O70" s="4" t="n">
        <v>876</v>
      </c>
      <c r="P70" s="4" t="n">
        <v>512</v>
      </c>
      <c r="Q70" s="6" t="n">
        <f aca="false">IFERROR(K70/J70,0)</f>
        <v>0.87109375</v>
      </c>
    </row>
    <row r="71" customFormat="false" ht="15" hidden="false" customHeight="false" outlineLevel="0" collapsed="false">
      <c r="A71" s="2" t="n">
        <v>10332</v>
      </c>
      <c r="B71" s="3" t="s">
        <v>263</v>
      </c>
      <c r="C71" s="3" t="s">
        <v>208</v>
      </c>
      <c r="D71" s="4" t="n">
        <v>1</v>
      </c>
      <c r="E71" s="4" t="n">
        <v>122</v>
      </c>
      <c r="F71" s="4" t="n">
        <v>12</v>
      </c>
      <c r="G71" s="4" t="n">
        <v>117</v>
      </c>
      <c r="H71" s="4" t="n">
        <v>24</v>
      </c>
      <c r="I71" s="5" t="n">
        <f aca="false">E71+G71</f>
        <v>239</v>
      </c>
      <c r="J71" s="4" t="n">
        <v>640</v>
      </c>
      <c r="K71" s="4" t="n">
        <v>509</v>
      </c>
      <c r="L71" s="5" t="n">
        <f aca="false">K71-J71</f>
        <v>-131</v>
      </c>
      <c r="M71" s="4" t="n">
        <v>507</v>
      </c>
      <c r="N71" s="5" t="n">
        <f aca="false">M71-H71</f>
        <v>483</v>
      </c>
      <c r="O71" s="4" t="n">
        <v>994</v>
      </c>
      <c r="P71" s="4" t="n">
        <v>640</v>
      </c>
      <c r="Q71" s="6" t="n">
        <f aca="false">IFERROR(K71/J71,0)</f>
        <v>0.7953125</v>
      </c>
    </row>
    <row r="72" customFormat="false" ht="15" hidden="false" customHeight="false" outlineLevel="0" collapsed="false">
      <c r="A72" s="2" t="n">
        <v>10333</v>
      </c>
      <c r="B72" s="3" t="s">
        <v>264</v>
      </c>
      <c r="C72" s="3" t="s">
        <v>198</v>
      </c>
      <c r="D72" s="4" t="n">
        <v>1</v>
      </c>
      <c r="E72" s="4" t="n">
        <v>174</v>
      </c>
      <c r="F72" s="4" t="n">
        <v>0</v>
      </c>
      <c r="G72" s="4" t="n">
        <v>177</v>
      </c>
      <c r="H72" s="4" t="n">
        <v>0</v>
      </c>
      <c r="I72" s="5" t="n">
        <f aca="false">E72+G72</f>
        <v>351</v>
      </c>
      <c r="J72" s="4" t="n">
        <v>640</v>
      </c>
      <c r="K72" s="4" t="n">
        <v>655</v>
      </c>
      <c r="L72" s="5" t="n">
        <f aca="false">K72-J72</f>
        <v>15</v>
      </c>
      <c r="M72" s="4" t="n">
        <v>646</v>
      </c>
      <c r="N72" s="5" t="n">
        <f aca="false">M72-H72</f>
        <v>646</v>
      </c>
      <c r="O72" s="4" t="n">
        <v>1293</v>
      </c>
      <c r="P72" s="4" t="n">
        <v>640</v>
      </c>
      <c r="Q72" s="6" t="n">
        <f aca="false">IFERROR(K72/J72,0)</f>
        <v>1.0234375</v>
      </c>
    </row>
    <row r="73" customFormat="false" ht="15" hidden="false" customHeight="false" outlineLevel="0" collapsed="false">
      <c r="A73" s="2" t="n">
        <v>10334</v>
      </c>
      <c r="B73" s="3" t="s">
        <v>127</v>
      </c>
      <c r="C73" s="3" t="s">
        <v>20</v>
      </c>
      <c r="D73" s="4" t="n">
        <v>0.8</v>
      </c>
      <c r="E73" s="4" t="n">
        <v>149</v>
      </c>
      <c r="F73" s="4" t="n">
        <v>0</v>
      </c>
      <c r="G73" s="4" t="n">
        <v>156</v>
      </c>
      <c r="H73" s="4" t="n">
        <v>0</v>
      </c>
      <c r="I73" s="5" t="n">
        <f aca="false">E73+G73</f>
        <v>305</v>
      </c>
      <c r="J73" s="4" t="n">
        <v>512</v>
      </c>
      <c r="K73" s="4" t="n">
        <v>584</v>
      </c>
      <c r="L73" s="5" t="n">
        <f aca="false">K73-J73</f>
        <v>72</v>
      </c>
      <c r="M73" s="4" t="n">
        <v>581</v>
      </c>
      <c r="N73" s="5" t="n">
        <f aca="false">M73-H73</f>
        <v>581</v>
      </c>
      <c r="O73" s="4" t="n">
        <v>1199</v>
      </c>
      <c r="P73" s="4" t="n">
        <v>512</v>
      </c>
      <c r="Q73" s="6" t="n">
        <f aca="false">IFERROR(K73/J73,0)</f>
        <v>1.140625</v>
      </c>
    </row>
    <row r="74" customFormat="false" ht="15" hidden="false" customHeight="false" outlineLevel="0" collapsed="false">
      <c r="A74" s="2" t="n">
        <v>10335</v>
      </c>
      <c r="B74" s="3" t="s">
        <v>265</v>
      </c>
      <c r="C74" s="3" t="s">
        <v>208</v>
      </c>
      <c r="D74" s="4" t="n">
        <v>1</v>
      </c>
      <c r="E74" s="4" t="n">
        <v>182</v>
      </c>
      <c r="F74" s="4" t="n">
        <v>0</v>
      </c>
      <c r="G74" s="4" t="n">
        <v>197</v>
      </c>
      <c r="H74" s="4" t="n">
        <v>30</v>
      </c>
      <c r="I74" s="5" t="n">
        <f aca="false">E74+G74</f>
        <v>379</v>
      </c>
      <c r="J74" s="4" t="n">
        <v>640</v>
      </c>
      <c r="K74" s="4" t="n">
        <v>705</v>
      </c>
      <c r="L74" s="5" t="n">
        <f aca="false">K74-J74</f>
        <v>65</v>
      </c>
      <c r="M74" s="4" t="n">
        <v>725</v>
      </c>
      <c r="N74" s="5" t="n">
        <f aca="false">M74-H74</f>
        <v>695</v>
      </c>
      <c r="O74" s="4" t="n">
        <v>1398</v>
      </c>
      <c r="P74" s="4" t="n">
        <v>640</v>
      </c>
      <c r="Q74" s="6" t="n">
        <f aca="false">IFERROR(K74/J74,0)</f>
        <v>1.1015625</v>
      </c>
    </row>
    <row r="75" customFormat="false" ht="15" hidden="false" customHeight="false" outlineLevel="0" collapsed="false">
      <c r="A75" s="2" t="n">
        <v>10336</v>
      </c>
      <c r="B75" s="3" t="s">
        <v>266</v>
      </c>
      <c r="C75" s="3" t="s">
        <v>31</v>
      </c>
      <c r="D75" s="4" t="n">
        <v>1</v>
      </c>
      <c r="E75" s="4" t="n">
        <v>158</v>
      </c>
      <c r="F75" s="4" t="n">
        <v>8</v>
      </c>
      <c r="G75" s="4" t="n">
        <v>146</v>
      </c>
      <c r="H75" s="4" t="n">
        <v>8</v>
      </c>
      <c r="I75" s="5" t="n">
        <f aca="false">E75+G75</f>
        <v>304</v>
      </c>
      <c r="J75" s="4" t="n">
        <v>640</v>
      </c>
      <c r="K75" s="4" t="n">
        <v>595</v>
      </c>
      <c r="L75" s="5" t="n">
        <f aca="false">K75-J75</f>
        <v>-45</v>
      </c>
      <c r="M75" s="4" t="n">
        <v>605</v>
      </c>
      <c r="N75" s="5" t="n">
        <f aca="false">M75-H75</f>
        <v>597</v>
      </c>
      <c r="O75" s="4" t="n">
        <v>1190</v>
      </c>
      <c r="P75" s="4" t="n">
        <v>640</v>
      </c>
      <c r="Q75" s="6" t="n">
        <f aca="false">IFERROR(K75/J75,0)</f>
        <v>0.9296875</v>
      </c>
    </row>
    <row r="76" customFormat="false" ht="15" hidden="false" customHeight="false" outlineLevel="0" collapsed="false">
      <c r="A76" s="2" t="n">
        <v>10337</v>
      </c>
      <c r="B76" s="3" t="s">
        <v>267</v>
      </c>
      <c r="C76" s="3" t="s">
        <v>20</v>
      </c>
      <c r="D76" s="4" t="n">
        <v>1</v>
      </c>
      <c r="E76" s="4" t="n">
        <v>142</v>
      </c>
      <c r="F76" s="4" t="n">
        <v>0</v>
      </c>
      <c r="G76" s="4" t="n">
        <v>144</v>
      </c>
      <c r="H76" s="4" t="n">
        <v>0</v>
      </c>
      <c r="I76" s="5" t="n">
        <f aca="false">E76+G76</f>
        <v>286</v>
      </c>
      <c r="J76" s="4" t="n">
        <v>640</v>
      </c>
      <c r="K76" s="4" t="n">
        <v>616</v>
      </c>
      <c r="L76" s="5" t="n">
        <f aca="false">K76-J76</f>
        <v>-24</v>
      </c>
      <c r="M76" s="4" t="n">
        <v>616</v>
      </c>
      <c r="N76" s="5" t="n">
        <f aca="false">M76-H76</f>
        <v>616</v>
      </c>
      <c r="O76" s="4" t="n">
        <v>1283</v>
      </c>
      <c r="P76" s="4" t="n">
        <v>640</v>
      </c>
      <c r="Q76" s="6" t="n">
        <f aca="false">IFERROR(K76/J76,0)</f>
        <v>0.9625</v>
      </c>
    </row>
    <row r="77" customFormat="false" ht="15" hidden="false" customHeight="false" outlineLevel="0" collapsed="false">
      <c r="A77" s="2" t="n">
        <v>10338</v>
      </c>
      <c r="B77" s="3" t="s">
        <v>86</v>
      </c>
      <c r="C77" s="3" t="s">
        <v>31</v>
      </c>
      <c r="D77" s="4" t="n">
        <v>1</v>
      </c>
      <c r="E77" s="4" t="n">
        <v>154</v>
      </c>
      <c r="F77" s="4" t="n">
        <v>8</v>
      </c>
      <c r="G77" s="4" t="n">
        <v>156</v>
      </c>
      <c r="H77" s="4" t="n">
        <v>0</v>
      </c>
      <c r="I77" s="5" t="n">
        <f aca="false">E77+G77</f>
        <v>310</v>
      </c>
      <c r="J77" s="4" t="n">
        <v>640</v>
      </c>
      <c r="K77" s="4" t="n">
        <v>649</v>
      </c>
      <c r="L77" s="5" t="n">
        <f aca="false">K77-J77</f>
        <v>9</v>
      </c>
      <c r="M77" s="4" t="n">
        <v>637</v>
      </c>
      <c r="N77" s="5" t="n">
        <f aca="false">M77-H77</f>
        <v>637</v>
      </c>
      <c r="O77" s="4" t="n">
        <v>1291</v>
      </c>
      <c r="P77" s="4" t="n">
        <v>640</v>
      </c>
      <c r="Q77" s="6" t="n">
        <f aca="false">IFERROR(K77/J77,0)</f>
        <v>1.0140625</v>
      </c>
    </row>
    <row r="78" customFormat="false" ht="15" hidden="false" customHeight="false" outlineLevel="0" collapsed="false">
      <c r="A78" s="2" t="n">
        <v>10339</v>
      </c>
      <c r="B78" s="3" t="s">
        <v>268</v>
      </c>
      <c r="C78" s="3" t="s">
        <v>193</v>
      </c>
      <c r="D78" s="4" t="n">
        <v>1</v>
      </c>
      <c r="E78" s="4" t="n">
        <v>180</v>
      </c>
      <c r="F78" s="4" t="n">
        <v>16</v>
      </c>
      <c r="G78" s="4" t="n">
        <v>185</v>
      </c>
      <c r="H78" s="4" t="n">
        <v>24</v>
      </c>
      <c r="I78" s="5" t="n">
        <f aca="false">E78+G78</f>
        <v>365</v>
      </c>
      <c r="J78" s="4" t="n">
        <v>640</v>
      </c>
      <c r="K78" s="4" t="n">
        <v>678</v>
      </c>
      <c r="L78" s="5" t="n">
        <f aca="false">K78-J78</f>
        <v>38</v>
      </c>
      <c r="M78" s="4" t="n">
        <v>688</v>
      </c>
      <c r="N78" s="5" t="n">
        <f aca="false">M78-H78</f>
        <v>664</v>
      </c>
      <c r="O78" s="4" t="n">
        <v>1366</v>
      </c>
      <c r="P78" s="4" t="n">
        <v>640</v>
      </c>
      <c r="Q78" s="6" t="n">
        <f aca="false">IFERROR(K78/J78,0)</f>
        <v>1.059375</v>
      </c>
    </row>
    <row r="79" customFormat="false" ht="15" hidden="false" customHeight="false" outlineLevel="0" collapsed="false">
      <c r="A79" s="2" t="n">
        <v>10340</v>
      </c>
      <c r="B79" s="3" t="s">
        <v>269</v>
      </c>
      <c r="C79" s="3" t="s">
        <v>31</v>
      </c>
      <c r="D79" s="4" t="n">
        <v>0.8</v>
      </c>
      <c r="E79" s="4" t="n">
        <v>98</v>
      </c>
      <c r="F79" s="4" t="n">
        <v>4</v>
      </c>
      <c r="G79" s="4" t="n">
        <v>94</v>
      </c>
      <c r="H79" s="4" t="n">
        <v>0</v>
      </c>
      <c r="I79" s="5" t="n">
        <f aca="false">E79+G79</f>
        <v>192</v>
      </c>
      <c r="J79" s="4" t="n">
        <v>512</v>
      </c>
      <c r="K79" s="4" t="n">
        <v>373</v>
      </c>
      <c r="L79" s="5" t="n">
        <f aca="false">K79-J79</f>
        <v>-139</v>
      </c>
      <c r="M79" s="4" t="n">
        <v>371</v>
      </c>
      <c r="N79" s="5" t="n">
        <f aca="false">M79-H79</f>
        <v>371</v>
      </c>
      <c r="O79" s="4" t="n">
        <v>741</v>
      </c>
      <c r="P79" s="4" t="n">
        <v>512</v>
      </c>
      <c r="Q79" s="6" t="n">
        <f aca="false">IFERROR(K79/J79,0)</f>
        <v>0.728515625</v>
      </c>
    </row>
    <row r="80" customFormat="false" ht="15" hidden="false" customHeight="false" outlineLevel="0" collapsed="false">
      <c r="A80" s="2" t="n">
        <v>10341</v>
      </c>
      <c r="B80" s="3" t="s">
        <v>270</v>
      </c>
      <c r="C80" s="3" t="s">
        <v>20</v>
      </c>
      <c r="D80" s="4" t="n">
        <v>0.5</v>
      </c>
      <c r="E80" s="4" t="n">
        <v>73</v>
      </c>
      <c r="F80" s="4" t="n">
        <v>0</v>
      </c>
      <c r="G80" s="4" t="n">
        <v>72</v>
      </c>
      <c r="H80" s="4" t="n">
        <v>0</v>
      </c>
      <c r="I80" s="5" t="n">
        <f aca="false">E80+G80</f>
        <v>145</v>
      </c>
      <c r="J80" s="4" t="n">
        <v>320</v>
      </c>
      <c r="K80" s="4" t="n">
        <v>300</v>
      </c>
      <c r="L80" s="5" t="n">
        <f aca="false">K80-J80</f>
        <v>-20</v>
      </c>
      <c r="M80" s="4" t="n">
        <v>294</v>
      </c>
      <c r="N80" s="5" t="n">
        <f aca="false">M80-H80</f>
        <v>294</v>
      </c>
      <c r="O80" s="4" t="n">
        <v>593</v>
      </c>
      <c r="P80" s="4" t="n">
        <v>320</v>
      </c>
      <c r="Q80" s="6" t="n">
        <f aca="false">IFERROR(K80/J80,0)</f>
        <v>0.9375</v>
      </c>
    </row>
    <row r="81" customFormat="false" ht="15" hidden="false" customHeight="false" outlineLevel="0" collapsed="false">
      <c r="A81" s="2" t="n">
        <v>10342</v>
      </c>
      <c r="B81" s="3" t="s">
        <v>63</v>
      </c>
      <c r="C81" s="3" t="s">
        <v>20</v>
      </c>
      <c r="D81" s="4" t="n">
        <v>1</v>
      </c>
      <c r="E81" s="4" t="n">
        <v>145</v>
      </c>
      <c r="F81" s="4" t="n">
        <v>0</v>
      </c>
      <c r="G81" s="4" t="n">
        <v>144</v>
      </c>
      <c r="H81" s="4" t="n">
        <v>24</v>
      </c>
      <c r="I81" s="5" t="n">
        <f aca="false">E81+G81</f>
        <v>289</v>
      </c>
      <c r="J81" s="4" t="n">
        <v>640</v>
      </c>
      <c r="K81" s="4" t="n">
        <v>619</v>
      </c>
      <c r="L81" s="5" t="n">
        <f aca="false">K81-J81</f>
        <v>-21</v>
      </c>
      <c r="M81" s="4" t="n">
        <v>618</v>
      </c>
      <c r="N81" s="5" t="n">
        <f aca="false">M81-H81</f>
        <v>594</v>
      </c>
      <c r="O81" s="4" t="n">
        <v>1248</v>
      </c>
      <c r="P81" s="4" t="n">
        <v>640</v>
      </c>
      <c r="Q81" s="6" t="n">
        <f aca="false">IFERROR(K81/J81,0)</f>
        <v>0.9671875</v>
      </c>
    </row>
    <row r="82" customFormat="false" ht="15" hidden="false" customHeight="false" outlineLevel="0" collapsed="false">
      <c r="A82" s="2" t="n">
        <v>10343</v>
      </c>
      <c r="B82" s="3" t="s">
        <v>271</v>
      </c>
      <c r="C82" s="3" t="s">
        <v>208</v>
      </c>
      <c r="D82" s="4" t="n">
        <v>1</v>
      </c>
      <c r="E82" s="4" t="n">
        <v>151</v>
      </c>
      <c r="F82" s="4" t="n">
        <v>0</v>
      </c>
      <c r="G82" s="4" t="n">
        <v>162</v>
      </c>
      <c r="H82" s="4" t="n">
        <v>0</v>
      </c>
      <c r="I82" s="5" t="n">
        <f aca="false">E82+G82</f>
        <v>313</v>
      </c>
      <c r="J82" s="4" t="n">
        <v>640</v>
      </c>
      <c r="K82" s="4" t="n">
        <v>609</v>
      </c>
      <c r="L82" s="5" t="n">
        <f aca="false">K82-J82</f>
        <v>-31</v>
      </c>
      <c r="M82" s="4" t="n">
        <v>626</v>
      </c>
      <c r="N82" s="5" t="n">
        <f aca="false">M82-H82</f>
        <v>626</v>
      </c>
      <c r="O82" s="4" t="n">
        <v>1241</v>
      </c>
      <c r="P82" s="4" t="n">
        <v>640</v>
      </c>
      <c r="Q82" s="6" t="n">
        <f aca="false">IFERROR(K82/J82,0)</f>
        <v>0.9515625</v>
      </c>
    </row>
    <row r="83" customFormat="false" ht="15" hidden="false" customHeight="false" outlineLevel="0" collapsed="false">
      <c r="B83" s="7" t="s">
        <v>104</v>
      </c>
      <c r="I83" s="8" t="n">
        <f aca="false">SUM(I2:I82)</f>
        <v>21153</v>
      </c>
      <c r="J83" s="8" t="n">
        <f aca="false">SUM(J2:J82)</f>
        <v>44704</v>
      </c>
      <c r="K83" s="8" t="n">
        <f aca="false">SUM(K2:K82)</f>
        <v>42522</v>
      </c>
      <c r="L83" s="8" t="n">
        <f aca="false">SUM(L2:L82)</f>
        <v>-2182</v>
      </c>
      <c r="M83" s="8" t="n">
        <f aca="false">SUM(M2:M82)</f>
        <v>42705</v>
      </c>
      <c r="N83" s="8" t="n">
        <f aca="false">SUM(N2:N82)</f>
        <v>42029</v>
      </c>
      <c r="O83" s="8" t="n">
        <f aca="false">SUM(O2:O82)</f>
        <v>85663</v>
      </c>
      <c r="P83" s="8" t="n">
        <f aca="false">SUM(P2:P82)</f>
        <v>44704</v>
      </c>
      <c r="Q83" s="9" t="n">
        <f aca="false">IFERROR(SUM(K2:K82)/SUM(J2:J82),0)</f>
        <v>0.951190050107373</v>
      </c>
    </row>
    <row r="85" customFormat="false" ht="15" hidden="false" customHeight="false" outlineLevel="0" collapsed="false">
      <c r="B85" s="10" t="s">
        <v>105</v>
      </c>
    </row>
    <row r="86" customFormat="false" ht="15" hidden="false" customHeight="false" outlineLevel="0" collapsed="false">
      <c r="B86" s="11" t="s">
        <v>106</v>
      </c>
    </row>
    <row r="87" customFormat="false" ht="15" hidden="false" customHeight="false" outlineLevel="0" collapsed="false">
      <c r="B87" s="11" t="s">
        <v>107</v>
      </c>
    </row>
    <row r="88" customFormat="false" ht="15" hidden="false" customHeight="false" outlineLevel="0" collapsed="false">
      <c r="B88" s="11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5C596AF1B3C414984AA18FB2ECCC297" ma:contentTypeVersion="20" ma:contentTypeDescription="Ein neues Dokument erstellen." ma:contentTypeScope="" ma:versionID="1c3cc50058aa4820362c938f54ac7567">
  <xsd:schema xmlns:xsd="http://www.w3.org/2001/XMLSchema" xmlns:xs="http://www.w3.org/2001/XMLSchema" xmlns:p="http://schemas.microsoft.com/office/2006/metadata/properties" xmlns:ns2="c73a7739-ffb5-4fef-b166-4f8774c35c3e" xmlns:ns3="9f6c7e6f-ceed-4cfd-a6d9-b79455156d09" targetNamespace="http://schemas.microsoft.com/office/2006/metadata/properties" ma:root="true" ma:fieldsID="4c951f5694abcdfa20d70bea7368b579" ns2:_="" ns3:_="">
    <xsd:import namespace="c73a7739-ffb5-4fef-b166-4f8774c35c3e"/>
    <xsd:import namespace="9f6c7e6f-ceed-4cfd-a6d9-b79455156d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Beschreibung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a7739-ffb5-4fef-b166-4f8774c35c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103d77d1-d645-46fc-a1a2-3b4016463e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BeschreibungTAGs" ma:index="27" nillable="true" ma:displayName="Beschreibung TAGs" ma:format="Dropdown" ma:internalName="BeschreibungTAG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c7e6f-ceed-4cfd-a6d9-b79455156d0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d700646-45d0-435e-b4e2-8410d2fdb2a1}" ma:internalName="TaxCatchAll" ma:showField="CatchAllData" ma:web="9f6c7e6f-ceed-4cfd-a6d9-b79455156d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73a7739-ffb5-4fef-b166-4f8774c35c3e">
      <Terms xmlns="http://schemas.microsoft.com/office/infopath/2007/PartnerControls"/>
    </lcf76f155ced4ddcb4097134ff3c332f>
    <BeschreibungTAGs xmlns="c73a7739-ffb5-4fef-b166-4f8774c35c3e" xsi:nil="true"/>
    <TaxCatchAll xmlns="9f6c7e6f-ceed-4cfd-a6d9-b79455156d09" xsi:nil="true"/>
  </documentManagement>
</p:properties>
</file>

<file path=customXml/itemProps1.xml><?xml version="1.0" encoding="utf-8"?>
<ds:datastoreItem xmlns:ds="http://schemas.openxmlformats.org/officeDocument/2006/customXml" ds:itemID="{5A128F6B-D702-4ECA-BE93-1A26980B597E}"/>
</file>

<file path=customXml/itemProps2.xml><?xml version="1.0" encoding="utf-8"?>
<ds:datastoreItem xmlns:ds="http://schemas.openxmlformats.org/officeDocument/2006/customXml" ds:itemID="{C0F2763F-5325-435F-9C53-7C2422F66591}"/>
</file>

<file path=customXml/itemProps3.xml><?xml version="1.0" encoding="utf-8"?>
<ds:datastoreItem xmlns:ds="http://schemas.openxmlformats.org/officeDocument/2006/customXml" ds:itemID="{68BAF13D-AB78-4AA8-B337-9DDEBE3E42E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2026-06-24T18:42:07Z</dcterms:created>
  <dcterms:modified xsi:type="dcterms:W3CDTF">2026-06-24T18:42:07Z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0x01010085C596AF1B3C414984AA18FB2ECCC297</vt:lpwstr>
  </property>
</Properties>
</file>